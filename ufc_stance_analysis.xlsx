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🥊 Fighters Database" sheetId="1" state="visible" r:id="rId1"/>
    <sheet xmlns:r="http://schemas.openxmlformats.org/officeDocument/2006/relationships" name="📊 Summary Stats" sheetId="2" state="visible" r:id="rId2"/>
    <sheet xmlns:r="http://schemas.openxmlformats.org/officeDocument/2006/relationships" name="🌍 Country Analysis" sheetId="3" state="visible" r:id="rId3"/>
    <sheet xmlns:r="http://schemas.openxmlformats.org/officeDocument/2006/relationships" name="⭐ Southpaw Right-Han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0F0F0"/>
      <sz val="14"/>
    </font>
    <font>
      <name val="Arial"/>
      <b val="1"/>
      <color rgb="00FFD700"/>
      <sz val="9"/>
    </font>
    <font>
      <name val="Arial"/>
      <color rgb="00F0F0F0"/>
      <sz val="9"/>
    </font>
    <font>
      <name val="Arial"/>
      <color rgb="00FF6666"/>
      <sz val="9"/>
    </font>
    <font>
      <name val="Arial"/>
      <color rgb="00FFD700"/>
      <sz val="9"/>
    </font>
    <font>
      <name val="Arial"/>
      <b val="1"/>
      <color rgb="00F0F0F0"/>
      <sz val="13"/>
    </font>
    <font>
      <name val="Arial"/>
      <b val="1"/>
      <color rgb="00FFD700"/>
      <sz val="10"/>
    </font>
    <font>
      <name val="Arial"/>
      <b val="1"/>
      <color rgb="00D2202F"/>
      <sz val="9"/>
    </font>
    <font>
      <name val="Arial"/>
      <b val="1"/>
      <color rgb="00F0F0F0"/>
      <sz val="9"/>
    </font>
    <font>
      <name val="Arial"/>
      <b val="1"/>
      <color rgb="00FFD700"/>
      <sz val="11"/>
    </font>
    <font>
      <name val="Arial"/>
      <b val="1"/>
      <color rgb="000D0D0D"/>
      <sz val="13"/>
    </font>
    <font>
      <name val="Arial"/>
      <b val="1"/>
      <color rgb="000D0D0D"/>
      <sz val="11"/>
    </font>
    <font>
      <name val="Arial"/>
      <b val="1"/>
      <color rgb="0052C878"/>
      <sz val="9"/>
    </font>
  </fonts>
  <fills count="15">
    <fill>
      <patternFill/>
    </fill>
    <fill>
      <patternFill patternType="gray125"/>
    </fill>
    <fill>
      <patternFill patternType="solid">
        <fgColor rgb="00D2202F"/>
      </patternFill>
    </fill>
    <fill>
      <patternFill patternType="solid">
        <fgColor rgb="001A1A1A"/>
      </patternFill>
    </fill>
    <fill>
      <patternFill patternType="solid">
        <fgColor rgb="00141414"/>
      </patternFill>
    </fill>
    <fill>
      <patternFill patternType="solid">
        <fgColor rgb="001E0500"/>
      </patternFill>
    </fill>
    <fill>
      <patternFill patternType="solid">
        <fgColor rgb="003A3A3A"/>
      </patternFill>
    </fill>
    <fill>
      <patternFill patternType="solid">
        <fgColor rgb="008B6914"/>
      </patternFill>
    </fill>
    <fill>
      <patternFill patternType="solid">
        <fgColor rgb="002B4E8A"/>
      </patternFill>
    </fill>
    <fill>
      <patternFill patternType="solid">
        <fgColor rgb="001A6B3A"/>
      </patternFill>
    </fill>
    <fill>
      <patternFill patternType="solid">
        <fgColor rgb="008B3D00"/>
      </patternFill>
    </fill>
    <fill>
      <patternFill patternType="solid">
        <fgColor rgb="006B3D8B"/>
      </patternFill>
    </fill>
    <fill>
      <patternFill patternType="solid">
        <fgColor rgb="00FFD700"/>
      </patternFill>
    </fill>
    <fill>
      <patternFill patternType="solid">
        <fgColor rgb="002A0800"/>
      </patternFill>
    </fill>
    <fill>
      <patternFill patternType="solid">
        <fgColor rgb="000D0D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2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2" fontId="3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2" fontId="2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 wrapText="1"/>
    </xf>
    <xf numFmtId="1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1" fontId="3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" fontId="2" fillId="5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1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2" fontId="8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2" fontId="2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2" fontId="3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2" fontId="9" fillId="2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2" fontId="3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2" fontId="9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/>
    </xf>
    <xf numFmtId="2" fontId="3" fillId="8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2" fontId="9" fillId="7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2" fontId="9" fillId="10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2" fontId="9" fillId="9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center" vertical="center"/>
    </xf>
    <xf numFmtId="2" fontId="9" fillId="11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center" vertical="center"/>
    </xf>
    <xf numFmtId="2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 vertical="center"/>
    </xf>
    <xf numFmtId="2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2" fontId="3" fillId="11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2" fontId="5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2" fontId="5" fillId="13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16" customWidth="1" min="4" max="4"/>
    <col width="12" customWidth="1" min="5" max="5"/>
    <col width="10" customWidth="1" min="6" max="6"/>
    <col width="8" customWidth="1" min="7" max="7"/>
    <col width="9" customWidth="1" min="8" max="8"/>
    <col width="13" customWidth="1" min="9" max="9"/>
    <col width="12" customWidth="1" min="10" max="10"/>
  </cols>
  <sheetData>
    <row r="1" ht="32" customHeight="1">
      <c r="A1" s="1" t="inlineStr">
        <is>
          <t>🏆  UFC STANCE INTELLIGENCE REPORT  •  RIGHT-HANDED SOUTHPAW EDITION</t>
        </is>
      </c>
    </row>
    <row r="2" ht="20" customHeight="1">
      <c r="A2" s="2" t="inlineStr">
        <is>
          <t>#</t>
        </is>
      </c>
      <c r="B2" s="2" t="inlineStr">
        <is>
          <t>Fighter Name</t>
        </is>
      </c>
      <c r="C2" s="2" t="inlineStr">
        <is>
          <t>Country</t>
        </is>
      </c>
      <c r="D2" s="2" t="inlineStr">
        <is>
          <t>Continent</t>
        </is>
      </c>
      <c r="E2" s="2" t="inlineStr">
        <is>
          <t>Stance</t>
        </is>
      </c>
      <c r="F2" s="2" t="inlineStr">
        <is>
          <t>Hand</t>
        </is>
      </c>
      <c r="G2" s="2" t="inlineStr">
        <is>
          <t>Wins</t>
        </is>
      </c>
      <c r="H2" s="2" t="inlineStr">
        <is>
          <t>Losses</t>
        </is>
      </c>
      <c r="I2" s="2" t="inlineStr">
        <is>
          <t>Total Fights</t>
        </is>
      </c>
      <c r="J2" s="2" t="inlineStr">
        <is>
          <t>Win Rate %</t>
        </is>
      </c>
    </row>
    <row r="3" ht="16" customHeight="1">
      <c r="A3" s="3" t="n">
        <v>1</v>
      </c>
      <c r="B3" s="4" t="inlineStr">
        <is>
          <t>Jon Jones</t>
        </is>
      </c>
      <c r="C3" s="3" t="inlineStr">
        <is>
          <t>USA</t>
        </is>
      </c>
      <c r="D3" s="3" t="inlineStr">
        <is>
          <t>North America</t>
        </is>
      </c>
      <c r="E3" s="5" t="inlineStr">
        <is>
          <t>Orthodox</t>
        </is>
      </c>
      <c r="F3" s="3" t="inlineStr">
        <is>
          <t>Right</t>
        </is>
      </c>
      <c r="G3" s="3" t="n">
        <v>27</v>
      </c>
      <c r="H3" s="3" t="n">
        <v>1</v>
      </c>
      <c r="I3" s="3">
        <f>G3+H3</f>
        <v/>
      </c>
      <c r="J3" s="6">
        <f>IF(I3&gt;0,G3/I3*100,0)</f>
        <v/>
      </c>
    </row>
    <row r="4" ht="16" customHeight="1">
      <c r="A4" s="7" t="n">
        <v>2</v>
      </c>
      <c r="B4" s="8" t="inlineStr">
        <is>
          <t>Stipe Miocic</t>
        </is>
      </c>
      <c r="C4" s="7" t="inlineStr">
        <is>
          <t>USA</t>
        </is>
      </c>
      <c r="D4" s="7" t="inlineStr">
        <is>
          <t>North America</t>
        </is>
      </c>
      <c r="E4" s="9" t="inlineStr">
        <is>
          <t>Orthodox</t>
        </is>
      </c>
      <c r="F4" s="7" t="inlineStr">
        <is>
          <t>Right</t>
        </is>
      </c>
      <c r="G4" s="7" t="n">
        <v>20</v>
      </c>
      <c r="H4" s="7" t="n">
        <v>4</v>
      </c>
      <c r="I4" s="7">
        <f>G4+H4</f>
        <v/>
      </c>
      <c r="J4" s="10">
        <f>IF(I4&gt;0,G4/I4*100,0)</f>
        <v/>
      </c>
    </row>
    <row r="5" ht="16" customHeight="1">
      <c r="A5" s="3" t="n">
        <v>3</v>
      </c>
      <c r="B5" s="4" t="inlineStr">
        <is>
          <t>Daniel Cormier</t>
        </is>
      </c>
      <c r="C5" s="3" t="inlineStr">
        <is>
          <t>USA</t>
        </is>
      </c>
      <c r="D5" s="3" t="inlineStr">
        <is>
          <t>North America</t>
        </is>
      </c>
      <c r="E5" s="5" t="inlineStr">
        <is>
          <t>Orthodox</t>
        </is>
      </c>
      <c r="F5" s="3" t="inlineStr">
        <is>
          <t>Right</t>
        </is>
      </c>
      <c r="G5" s="3" t="n">
        <v>22</v>
      </c>
      <c r="H5" s="3" t="n">
        <v>3</v>
      </c>
      <c r="I5" s="3">
        <f>G5+H5</f>
        <v/>
      </c>
      <c r="J5" s="6">
        <f>IF(I5&gt;0,G5/I5*100,0)</f>
        <v/>
      </c>
    </row>
    <row r="6" ht="16" customHeight="1">
      <c r="A6" s="7" t="n">
        <v>4</v>
      </c>
      <c r="B6" s="8" t="inlineStr">
        <is>
          <t>Nate Diaz</t>
        </is>
      </c>
      <c r="C6" s="7" t="inlineStr">
        <is>
          <t>USA</t>
        </is>
      </c>
      <c r="D6" s="7" t="inlineStr">
        <is>
          <t>North America</t>
        </is>
      </c>
      <c r="E6" s="11" t="inlineStr">
        <is>
          <t>Southpaw</t>
        </is>
      </c>
      <c r="F6" s="7" t="inlineStr">
        <is>
          <t>Left</t>
        </is>
      </c>
      <c r="G6" s="7" t="n">
        <v>21</v>
      </c>
      <c r="H6" s="7" t="n">
        <v>13</v>
      </c>
      <c r="I6" s="7">
        <f>G6+H6</f>
        <v/>
      </c>
      <c r="J6" s="10">
        <f>IF(I6&gt;0,G6/I6*100,0)</f>
        <v/>
      </c>
    </row>
    <row r="7" ht="16" customHeight="1">
      <c r="A7" s="3" t="n">
        <v>5</v>
      </c>
      <c r="B7" s="4" t="inlineStr">
        <is>
          <t>Tony Ferguson</t>
        </is>
      </c>
      <c r="C7" s="3" t="inlineStr">
        <is>
          <t>USA</t>
        </is>
      </c>
      <c r="D7" s="3" t="inlineStr">
        <is>
          <t>North America</t>
        </is>
      </c>
      <c r="E7" s="5" t="inlineStr">
        <is>
          <t>Orthodox</t>
        </is>
      </c>
      <c r="F7" s="3" t="inlineStr">
        <is>
          <t>Right</t>
        </is>
      </c>
      <c r="G7" s="3" t="n">
        <v>25</v>
      </c>
      <c r="H7" s="3" t="n">
        <v>8</v>
      </c>
      <c r="I7" s="3">
        <f>G7+H7</f>
        <v/>
      </c>
      <c r="J7" s="6">
        <f>IF(I7&gt;0,G7/I7*100,0)</f>
        <v/>
      </c>
    </row>
    <row r="8" ht="16" customHeight="1">
      <c r="A8" s="7" t="n">
        <v>6</v>
      </c>
      <c r="B8" s="8" t="inlineStr">
        <is>
          <t>Colby Covington</t>
        </is>
      </c>
      <c r="C8" s="7" t="inlineStr">
        <is>
          <t>USA</t>
        </is>
      </c>
      <c r="D8" s="7" t="inlineStr">
        <is>
          <t>North America</t>
        </is>
      </c>
      <c r="E8" s="9" t="inlineStr">
        <is>
          <t>Orthodox</t>
        </is>
      </c>
      <c r="F8" s="7" t="inlineStr">
        <is>
          <t>Right</t>
        </is>
      </c>
      <c r="G8" s="7" t="n">
        <v>17</v>
      </c>
      <c r="H8" s="7" t="n">
        <v>4</v>
      </c>
      <c r="I8" s="7">
        <f>G8+H8</f>
        <v/>
      </c>
      <c r="J8" s="10">
        <f>IF(I8&gt;0,G8/I8*100,0)</f>
        <v/>
      </c>
    </row>
    <row r="9" ht="16" customHeight="1">
      <c r="A9" s="3" t="n">
        <v>7</v>
      </c>
      <c r="B9" s="4" t="inlineStr">
        <is>
          <t>Tyron Woodley</t>
        </is>
      </c>
      <c r="C9" s="3" t="inlineStr">
        <is>
          <t>USA</t>
        </is>
      </c>
      <c r="D9" s="3" t="inlineStr">
        <is>
          <t>North America</t>
        </is>
      </c>
      <c r="E9" s="5" t="inlineStr">
        <is>
          <t>Orthodox</t>
        </is>
      </c>
      <c r="F9" s="3" t="inlineStr">
        <is>
          <t>Right</t>
        </is>
      </c>
      <c r="G9" s="3" t="n">
        <v>19</v>
      </c>
      <c r="H9" s="3" t="n">
        <v>7</v>
      </c>
      <c r="I9" s="3">
        <f>G9+H9</f>
        <v/>
      </c>
      <c r="J9" s="6">
        <f>IF(I9&gt;0,G9/I9*100,0)</f>
        <v/>
      </c>
    </row>
    <row r="10" ht="16" customHeight="1">
      <c r="A10" s="7" t="n">
        <v>8</v>
      </c>
      <c r="B10" s="8" t="inlineStr">
        <is>
          <t>Justin Gaethje</t>
        </is>
      </c>
      <c r="C10" s="7" t="inlineStr">
        <is>
          <t>USA</t>
        </is>
      </c>
      <c r="D10" s="7" t="inlineStr">
        <is>
          <t>North America</t>
        </is>
      </c>
      <c r="E10" s="9" t="inlineStr">
        <is>
          <t>Orthodox</t>
        </is>
      </c>
      <c r="F10" s="7" t="inlineStr">
        <is>
          <t>Right</t>
        </is>
      </c>
      <c r="G10" s="7" t="n">
        <v>25</v>
      </c>
      <c r="H10" s="7" t="n">
        <v>4</v>
      </c>
      <c r="I10" s="7">
        <f>G10+H10</f>
        <v/>
      </c>
      <c r="J10" s="10">
        <f>IF(I10&gt;0,G10/I10*100,0)</f>
        <v/>
      </c>
    </row>
    <row r="11" ht="16" customHeight="1">
      <c r="A11" s="3" t="n">
        <v>9</v>
      </c>
      <c r="B11" s="4" t="inlineStr">
        <is>
          <t>Max Holloway</t>
        </is>
      </c>
      <c r="C11" s="3" t="inlineStr">
        <is>
          <t>USA</t>
        </is>
      </c>
      <c r="D11" s="3" t="inlineStr">
        <is>
          <t>North America</t>
        </is>
      </c>
      <c r="E11" s="5" t="inlineStr">
        <is>
          <t>Orthodox</t>
        </is>
      </c>
      <c r="F11" s="3" t="inlineStr">
        <is>
          <t>Right</t>
        </is>
      </c>
      <c r="G11" s="3" t="n">
        <v>25</v>
      </c>
      <c r="H11" s="3" t="n">
        <v>7</v>
      </c>
      <c r="I11" s="3">
        <f>G11+H11</f>
        <v/>
      </c>
      <c r="J11" s="6">
        <f>IF(I11&gt;0,G11/I11*100,0)</f>
        <v/>
      </c>
    </row>
    <row r="12" ht="16" customHeight="1">
      <c r="A12" s="12" t="n">
        <v>10</v>
      </c>
      <c r="B12" s="13" t="inlineStr">
        <is>
          <t>Dustin Poirier</t>
        </is>
      </c>
      <c r="C12" s="12" t="inlineStr">
        <is>
          <t>USA</t>
        </is>
      </c>
      <c r="D12" s="12" t="inlineStr">
        <is>
          <t>North America</t>
        </is>
      </c>
      <c r="E12" s="12" t="inlineStr">
        <is>
          <t>Southpaw</t>
        </is>
      </c>
      <c r="F12" s="12" t="inlineStr">
        <is>
          <t>Right</t>
        </is>
      </c>
      <c r="G12" s="12" t="n">
        <v>29</v>
      </c>
      <c r="H12" s="12" t="n">
        <v>8</v>
      </c>
      <c r="I12" s="12">
        <f>G12+H12</f>
        <v/>
      </c>
      <c r="J12" s="14">
        <f>IF(I12&gt;0,G12/I12*100,0)</f>
        <v/>
      </c>
    </row>
    <row r="13" ht="16" customHeight="1">
      <c r="A13" s="12" t="n">
        <v>11</v>
      </c>
      <c r="B13" s="13" t="inlineStr">
        <is>
          <t>Sean O'Malley</t>
        </is>
      </c>
      <c r="C13" s="12" t="inlineStr">
        <is>
          <t>USA</t>
        </is>
      </c>
      <c r="D13" s="12" t="inlineStr">
        <is>
          <t>North America</t>
        </is>
      </c>
      <c r="E13" s="12" t="inlineStr">
        <is>
          <t>Southpaw</t>
        </is>
      </c>
      <c r="F13" s="12" t="inlineStr">
        <is>
          <t>Right</t>
        </is>
      </c>
      <c r="G13" s="12" t="n">
        <v>17</v>
      </c>
      <c r="H13" s="12" t="n">
        <v>1</v>
      </c>
      <c r="I13" s="12">
        <f>G13+H13</f>
        <v/>
      </c>
      <c r="J13" s="14">
        <f>IF(I13&gt;0,G13/I13*100,0)</f>
        <v/>
      </c>
    </row>
    <row r="14" ht="16" customHeight="1">
      <c r="A14" s="7" t="n">
        <v>12</v>
      </c>
      <c r="B14" s="8" t="inlineStr">
        <is>
          <t>Kamaru Usman</t>
        </is>
      </c>
      <c r="C14" s="7" t="inlineStr">
        <is>
          <t>USA</t>
        </is>
      </c>
      <c r="D14" s="7" t="inlineStr">
        <is>
          <t>North America</t>
        </is>
      </c>
      <c r="E14" s="9" t="inlineStr">
        <is>
          <t>Orthodox</t>
        </is>
      </c>
      <c r="F14" s="7" t="inlineStr">
        <is>
          <t>Right</t>
        </is>
      </c>
      <c r="G14" s="7" t="n">
        <v>20</v>
      </c>
      <c r="H14" s="7" t="n">
        <v>3</v>
      </c>
      <c r="I14" s="7">
        <f>G14+H14</f>
        <v/>
      </c>
      <c r="J14" s="10">
        <f>IF(I14&gt;0,G14/I14*100,0)</f>
        <v/>
      </c>
    </row>
    <row r="15" ht="16" customHeight="1">
      <c r="A15" s="3" t="n">
        <v>13</v>
      </c>
      <c r="B15" s="4" t="inlineStr">
        <is>
          <t>Ronda Rousey</t>
        </is>
      </c>
      <c r="C15" s="3" t="inlineStr">
        <is>
          <t>USA</t>
        </is>
      </c>
      <c r="D15" s="3" t="inlineStr">
        <is>
          <t>North America</t>
        </is>
      </c>
      <c r="E15" s="5" t="inlineStr">
        <is>
          <t>Orthodox</t>
        </is>
      </c>
      <c r="F15" s="3" t="inlineStr">
        <is>
          <t>Right</t>
        </is>
      </c>
      <c r="G15" s="3" t="n">
        <v>12</v>
      </c>
      <c r="H15" s="3" t="n">
        <v>2</v>
      </c>
      <c r="I15" s="3">
        <f>G15+H15</f>
        <v/>
      </c>
      <c r="J15" s="6">
        <f>IF(I15&gt;0,G15/I15*100,0)</f>
        <v/>
      </c>
    </row>
    <row r="16" ht="16" customHeight="1">
      <c r="A16" s="7" t="n">
        <v>14</v>
      </c>
      <c r="B16" s="8" t="inlineStr">
        <is>
          <t>Rose Namajunas</t>
        </is>
      </c>
      <c r="C16" s="7" t="inlineStr">
        <is>
          <t>USA</t>
        </is>
      </c>
      <c r="D16" s="7" t="inlineStr">
        <is>
          <t>North America</t>
        </is>
      </c>
      <c r="E16" s="11" t="inlineStr">
        <is>
          <t>Southpaw</t>
        </is>
      </c>
      <c r="F16" s="7" t="inlineStr">
        <is>
          <t>Left</t>
        </is>
      </c>
      <c r="G16" s="7" t="n">
        <v>12</v>
      </c>
      <c r="H16" s="7" t="n">
        <v>5</v>
      </c>
      <c r="I16" s="7">
        <f>G16+H16</f>
        <v/>
      </c>
      <c r="J16" s="10">
        <f>IF(I16&gt;0,G16/I16*100,0)</f>
        <v/>
      </c>
    </row>
    <row r="17" ht="16" customHeight="1">
      <c r="A17" s="3" t="n">
        <v>15</v>
      </c>
      <c r="B17" s="4" t="inlineStr">
        <is>
          <t>Holly Holm</t>
        </is>
      </c>
      <c r="C17" s="3" t="inlineStr">
        <is>
          <t>USA</t>
        </is>
      </c>
      <c r="D17" s="3" t="inlineStr">
        <is>
          <t>North America</t>
        </is>
      </c>
      <c r="E17" s="5" t="inlineStr">
        <is>
          <t>Orthodox</t>
        </is>
      </c>
      <c r="F17" s="3" t="inlineStr">
        <is>
          <t>Right</t>
        </is>
      </c>
      <c r="G17" s="3" t="n">
        <v>14</v>
      </c>
      <c r="H17" s="3" t="n">
        <v>6</v>
      </c>
      <c r="I17" s="3">
        <f>G17+H17</f>
        <v/>
      </c>
      <c r="J17" s="6">
        <f>IF(I17&gt;0,G17/I17*100,0)</f>
        <v/>
      </c>
    </row>
    <row r="18" ht="16" customHeight="1">
      <c r="A18" s="7" t="n">
        <v>16</v>
      </c>
      <c r="B18" s="8" t="inlineStr">
        <is>
          <t>Miesha Tate</t>
        </is>
      </c>
      <c r="C18" s="7" t="inlineStr">
        <is>
          <t>USA</t>
        </is>
      </c>
      <c r="D18" s="7" t="inlineStr">
        <is>
          <t>North America</t>
        </is>
      </c>
      <c r="E18" s="9" t="inlineStr">
        <is>
          <t>Orthodox</t>
        </is>
      </c>
      <c r="F18" s="7" t="inlineStr">
        <is>
          <t>Right</t>
        </is>
      </c>
      <c r="G18" s="7" t="n">
        <v>18</v>
      </c>
      <c r="H18" s="7" t="n">
        <v>7</v>
      </c>
      <c r="I18" s="7">
        <f>G18+H18</f>
        <v/>
      </c>
      <c r="J18" s="10">
        <f>IF(I18&gt;0,G18/I18*100,0)</f>
        <v/>
      </c>
    </row>
    <row r="19" ht="16" customHeight="1">
      <c r="A19" s="3" t="n">
        <v>17</v>
      </c>
      <c r="B19" s="4" t="inlineStr">
        <is>
          <t>Cody Garbrandt</t>
        </is>
      </c>
      <c r="C19" s="3" t="inlineStr">
        <is>
          <t>USA</t>
        </is>
      </c>
      <c r="D19" s="3" t="inlineStr">
        <is>
          <t>North America</t>
        </is>
      </c>
      <c r="E19" s="5" t="inlineStr">
        <is>
          <t>Orthodox</t>
        </is>
      </c>
      <c r="F19" s="3" t="inlineStr">
        <is>
          <t>Right</t>
        </is>
      </c>
      <c r="G19" s="3" t="n">
        <v>12</v>
      </c>
      <c r="H19" s="3" t="n">
        <v>5</v>
      </c>
      <c r="I19" s="3">
        <f>G19+H19</f>
        <v/>
      </c>
      <c r="J19" s="6">
        <f>IF(I19&gt;0,G19/I19*100,0)</f>
        <v/>
      </c>
    </row>
    <row r="20" ht="16" customHeight="1">
      <c r="A20" s="12" t="n">
        <v>18</v>
      </c>
      <c r="B20" s="13" t="inlineStr">
        <is>
          <t>TJ Dillashaw</t>
        </is>
      </c>
      <c r="C20" s="12" t="inlineStr">
        <is>
          <t>USA</t>
        </is>
      </c>
      <c r="D20" s="12" t="inlineStr">
        <is>
          <t>North America</t>
        </is>
      </c>
      <c r="E20" s="12" t="inlineStr">
        <is>
          <t>Southpaw</t>
        </is>
      </c>
      <c r="F20" s="12" t="inlineStr">
        <is>
          <t>Right</t>
        </is>
      </c>
      <c r="G20" s="12" t="n">
        <v>17</v>
      </c>
      <c r="H20" s="12" t="n">
        <v>5</v>
      </c>
      <c r="I20" s="12">
        <f>G20+H20</f>
        <v/>
      </c>
      <c r="J20" s="14">
        <f>IF(I20&gt;0,G20/I20*100,0)</f>
        <v/>
      </c>
    </row>
    <row r="21" ht="16" customHeight="1">
      <c r="A21" s="3" t="n">
        <v>19</v>
      </c>
      <c r="B21" s="4" t="inlineStr">
        <is>
          <t>Henry Cejudo</t>
        </is>
      </c>
      <c r="C21" s="3" t="inlineStr">
        <is>
          <t>USA</t>
        </is>
      </c>
      <c r="D21" s="3" t="inlineStr">
        <is>
          <t>North America</t>
        </is>
      </c>
      <c r="E21" s="5" t="inlineStr">
        <is>
          <t>Orthodox</t>
        </is>
      </c>
      <c r="F21" s="3" t="inlineStr">
        <is>
          <t>Right</t>
        </is>
      </c>
      <c r="G21" s="3" t="n">
        <v>16</v>
      </c>
      <c r="H21" s="3" t="n">
        <v>2</v>
      </c>
      <c r="I21" s="3">
        <f>G21+H21</f>
        <v/>
      </c>
      <c r="J21" s="6">
        <f>IF(I21&gt;0,G21/I21*100,0)</f>
        <v/>
      </c>
    </row>
    <row r="22" ht="16" customHeight="1">
      <c r="A22" s="7" t="n">
        <v>20</v>
      </c>
      <c r="B22" s="8" t="inlineStr">
        <is>
          <t>Eddie Alvarez</t>
        </is>
      </c>
      <c r="C22" s="7" t="inlineStr">
        <is>
          <t>USA</t>
        </is>
      </c>
      <c r="D22" s="7" t="inlineStr">
        <is>
          <t>North America</t>
        </is>
      </c>
      <c r="E22" s="9" t="inlineStr">
        <is>
          <t>Orthodox</t>
        </is>
      </c>
      <c r="F22" s="7" t="inlineStr">
        <is>
          <t>Right</t>
        </is>
      </c>
      <c r="G22" s="7" t="n">
        <v>29</v>
      </c>
      <c r="H22" s="7" t="n">
        <v>10</v>
      </c>
      <c r="I22" s="7">
        <f>G22+H22</f>
        <v/>
      </c>
      <c r="J22" s="10">
        <f>IF(I22&gt;0,G22/I22*100,0)</f>
        <v/>
      </c>
    </row>
    <row r="23" ht="16" customHeight="1">
      <c r="A23" s="3" t="n">
        <v>21</v>
      </c>
      <c r="B23" s="4" t="inlineStr">
        <is>
          <t>Donald Cerrone</t>
        </is>
      </c>
      <c r="C23" s="3" t="inlineStr">
        <is>
          <t>USA</t>
        </is>
      </c>
      <c r="D23" s="3" t="inlineStr">
        <is>
          <t>North America</t>
        </is>
      </c>
      <c r="E23" s="5" t="inlineStr">
        <is>
          <t>Orthodox</t>
        </is>
      </c>
      <c r="F23" s="3" t="inlineStr">
        <is>
          <t>Right</t>
        </is>
      </c>
      <c r="G23" s="3" t="n">
        <v>36</v>
      </c>
      <c r="H23" s="3" t="n">
        <v>16</v>
      </c>
      <c r="I23" s="3">
        <f>G23+H23</f>
        <v/>
      </c>
      <c r="J23" s="6">
        <f>IF(I23&gt;0,G23/I23*100,0)</f>
        <v/>
      </c>
    </row>
    <row r="24" ht="16" customHeight="1">
      <c r="A24" s="7" t="n">
        <v>22</v>
      </c>
      <c r="B24" s="8" t="inlineStr">
        <is>
          <t>Frankie Edgar</t>
        </is>
      </c>
      <c r="C24" s="7" t="inlineStr">
        <is>
          <t>USA</t>
        </is>
      </c>
      <c r="D24" s="7" t="inlineStr">
        <is>
          <t>North America</t>
        </is>
      </c>
      <c r="E24" s="9" t="inlineStr">
        <is>
          <t>Orthodox</t>
        </is>
      </c>
      <c r="F24" s="7" t="inlineStr">
        <is>
          <t>Right</t>
        </is>
      </c>
      <c r="G24" s="7" t="n">
        <v>24</v>
      </c>
      <c r="H24" s="7" t="n">
        <v>9</v>
      </c>
      <c r="I24" s="7">
        <f>G24+H24</f>
        <v/>
      </c>
      <c r="J24" s="10">
        <f>IF(I24&gt;0,G24/I24*100,0)</f>
        <v/>
      </c>
    </row>
    <row r="25" ht="16" customHeight="1">
      <c r="A25" s="3" t="n">
        <v>23</v>
      </c>
      <c r="B25" s="4" t="inlineStr">
        <is>
          <t>BJ Penn</t>
        </is>
      </c>
      <c r="C25" s="3" t="inlineStr">
        <is>
          <t>USA</t>
        </is>
      </c>
      <c r="D25" s="3" t="inlineStr">
        <is>
          <t>North America</t>
        </is>
      </c>
      <c r="E25" s="15" t="inlineStr">
        <is>
          <t>Southpaw</t>
        </is>
      </c>
      <c r="F25" s="3" t="inlineStr">
        <is>
          <t>Left</t>
        </is>
      </c>
      <c r="G25" s="3" t="n">
        <v>16</v>
      </c>
      <c r="H25" s="3" t="n">
        <v>14</v>
      </c>
      <c r="I25" s="3">
        <f>G25+H25</f>
        <v/>
      </c>
      <c r="J25" s="6">
        <f>IF(I25&gt;0,G25/I25*100,0)</f>
        <v/>
      </c>
    </row>
    <row r="26" ht="16" customHeight="1">
      <c r="A26" s="7" t="n">
        <v>24</v>
      </c>
      <c r="B26" s="8" t="inlineStr">
        <is>
          <t>Nick Diaz</t>
        </is>
      </c>
      <c r="C26" s="7" t="inlineStr">
        <is>
          <t>USA</t>
        </is>
      </c>
      <c r="D26" s="7" t="inlineStr">
        <is>
          <t>North America</t>
        </is>
      </c>
      <c r="E26" s="11" t="inlineStr">
        <is>
          <t>Southpaw</t>
        </is>
      </c>
      <c r="F26" s="7" t="inlineStr">
        <is>
          <t>Left</t>
        </is>
      </c>
      <c r="G26" s="7" t="n">
        <v>26</v>
      </c>
      <c r="H26" s="7" t="n">
        <v>9</v>
      </c>
      <c r="I26" s="7">
        <f>G26+H26</f>
        <v/>
      </c>
      <c r="J26" s="10">
        <f>IF(I26&gt;0,G26/I26*100,0)</f>
        <v/>
      </c>
    </row>
    <row r="27" ht="16" customHeight="1">
      <c r="A27" s="3" t="n">
        <v>25</v>
      </c>
      <c r="B27" s="4" t="inlineStr">
        <is>
          <t>Randy Couture</t>
        </is>
      </c>
      <c r="C27" s="3" t="inlineStr">
        <is>
          <t>USA</t>
        </is>
      </c>
      <c r="D27" s="3" t="inlineStr">
        <is>
          <t>North America</t>
        </is>
      </c>
      <c r="E27" s="5" t="inlineStr">
        <is>
          <t>Orthodox</t>
        </is>
      </c>
      <c r="F27" s="3" t="inlineStr">
        <is>
          <t>Right</t>
        </is>
      </c>
      <c r="G27" s="3" t="n">
        <v>19</v>
      </c>
      <c r="H27" s="3" t="n">
        <v>11</v>
      </c>
      <c r="I27" s="3">
        <f>G27+H27</f>
        <v/>
      </c>
      <c r="J27" s="6">
        <f>IF(I27&gt;0,G27/I27*100,0)</f>
        <v/>
      </c>
    </row>
    <row r="28" ht="16" customHeight="1">
      <c r="A28" s="7" t="n">
        <v>26</v>
      </c>
      <c r="B28" s="8" t="inlineStr">
        <is>
          <t>Chuck Liddell</t>
        </is>
      </c>
      <c r="C28" s="7" t="inlineStr">
        <is>
          <t>USA</t>
        </is>
      </c>
      <c r="D28" s="7" t="inlineStr">
        <is>
          <t>North America</t>
        </is>
      </c>
      <c r="E28" s="9" t="inlineStr">
        <is>
          <t>Orthodox</t>
        </is>
      </c>
      <c r="F28" s="7" t="inlineStr">
        <is>
          <t>Right</t>
        </is>
      </c>
      <c r="G28" s="7" t="n">
        <v>21</v>
      </c>
      <c r="H28" s="7" t="n">
        <v>9</v>
      </c>
      <c r="I28" s="7">
        <f>G28+H28</f>
        <v/>
      </c>
      <c r="J28" s="10">
        <f>IF(I28&gt;0,G28/I28*100,0)</f>
        <v/>
      </c>
    </row>
    <row r="29" ht="16" customHeight="1">
      <c r="A29" s="3" t="n">
        <v>27</v>
      </c>
      <c r="B29" s="4" t="inlineStr">
        <is>
          <t>Jamahal Hill</t>
        </is>
      </c>
      <c r="C29" s="3" t="inlineStr">
        <is>
          <t>USA</t>
        </is>
      </c>
      <c r="D29" s="3" t="inlineStr">
        <is>
          <t>North America</t>
        </is>
      </c>
      <c r="E29" s="5" t="inlineStr">
        <is>
          <t>Orthodox</t>
        </is>
      </c>
      <c r="F29" s="3" t="inlineStr">
        <is>
          <t>Right</t>
        </is>
      </c>
      <c r="G29" s="3" t="n">
        <v>12</v>
      </c>
      <c r="H29" s="3" t="n">
        <v>2</v>
      </c>
      <c r="I29" s="3">
        <f>G29+H29</f>
        <v/>
      </c>
      <c r="J29" s="6">
        <f>IF(I29&gt;0,G29/I29*100,0)</f>
        <v/>
      </c>
    </row>
    <row r="30" ht="16" customHeight="1">
      <c r="A30" s="12" t="n">
        <v>28</v>
      </c>
      <c r="B30" s="13" t="inlineStr">
        <is>
          <t>Cory Sandhagen</t>
        </is>
      </c>
      <c r="C30" s="12" t="inlineStr">
        <is>
          <t>USA</t>
        </is>
      </c>
      <c r="D30" s="12" t="inlineStr">
        <is>
          <t>North America</t>
        </is>
      </c>
      <c r="E30" s="12" t="inlineStr">
        <is>
          <t>Southpaw</t>
        </is>
      </c>
      <c r="F30" s="12" t="inlineStr">
        <is>
          <t>Right</t>
        </is>
      </c>
      <c r="G30" s="12" t="n">
        <v>16</v>
      </c>
      <c r="H30" s="12" t="n">
        <v>4</v>
      </c>
      <c r="I30" s="12">
        <f>G30+H30</f>
        <v/>
      </c>
      <c r="J30" s="14">
        <f>IF(I30&gt;0,G30/I30*100,0)</f>
        <v/>
      </c>
    </row>
    <row r="31" ht="16" customHeight="1">
      <c r="A31" s="3" t="n">
        <v>29</v>
      </c>
      <c r="B31" s="4" t="inlineStr">
        <is>
          <t>Carla Esparza</t>
        </is>
      </c>
      <c r="C31" s="3" t="inlineStr">
        <is>
          <t>USA</t>
        </is>
      </c>
      <c r="D31" s="3" t="inlineStr">
        <is>
          <t>North America</t>
        </is>
      </c>
      <c r="E31" s="5" t="inlineStr">
        <is>
          <t>Orthodox</t>
        </is>
      </c>
      <c r="F31" s="3" t="inlineStr">
        <is>
          <t>Right</t>
        </is>
      </c>
      <c r="G31" s="3" t="n">
        <v>19</v>
      </c>
      <c r="H31" s="3" t="n">
        <v>7</v>
      </c>
      <c r="I31" s="3">
        <f>G31+H31</f>
        <v/>
      </c>
      <c r="J31" s="6">
        <f>IF(I31&gt;0,G31/I31*100,0)</f>
        <v/>
      </c>
    </row>
    <row r="32" ht="16" customHeight="1">
      <c r="A32" s="7" t="n">
        <v>30</v>
      </c>
      <c r="B32" s="8" t="inlineStr">
        <is>
          <t>Tatiana Suarez</t>
        </is>
      </c>
      <c r="C32" s="7" t="inlineStr">
        <is>
          <t>USA</t>
        </is>
      </c>
      <c r="D32" s="7" t="inlineStr">
        <is>
          <t>North America</t>
        </is>
      </c>
      <c r="E32" s="9" t="inlineStr">
        <is>
          <t>Orthodox</t>
        </is>
      </c>
      <c r="F32" s="7" t="inlineStr">
        <is>
          <t>Right</t>
        </is>
      </c>
      <c r="G32" s="7" t="n">
        <v>10</v>
      </c>
      <c r="H32" s="7" t="n">
        <v>0</v>
      </c>
      <c r="I32" s="7">
        <f>G32+H32</f>
        <v/>
      </c>
      <c r="J32" s="10">
        <f>IF(I32&gt;0,G32/I32*100,0)</f>
        <v/>
      </c>
    </row>
    <row r="33" ht="16" customHeight="1">
      <c r="A33" s="3" t="n">
        <v>31</v>
      </c>
      <c r="B33" s="4" t="inlineStr">
        <is>
          <t>Robbie Lawler</t>
        </is>
      </c>
      <c r="C33" s="3" t="inlineStr">
        <is>
          <t>USA</t>
        </is>
      </c>
      <c r="D33" s="3" t="inlineStr">
        <is>
          <t>North America</t>
        </is>
      </c>
      <c r="E33" s="5" t="inlineStr">
        <is>
          <t>Orthodox</t>
        </is>
      </c>
      <c r="F33" s="3" t="inlineStr">
        <is>
          <t>Right</t>
        </is>
      </c>
      <c r="G33" s="3" t="n">
        <v>28</v>
      </c>
      <c r="H33" s="3" t="n">
        <v>15</v>
      </c>
      <c r="I33" s="3">
        <f>G33+H33</f>
        <v/>
      </c>
      <c r="J33" s="6">
        <f>IF(I33&gt;0,G33/I33*100,0)</f>
        <v/>
      </c>
    </row>
    <row r="34" ht="16" customHeight="1">
      <c r="A34" s="7" t="n">
        <v>32</v>
      </c>
      <c r="B34" s="8" t="inlineStr">
        <is>
          <t>Carlos Condit</t>
        </is>
      </c>
      <c r="C34" s="7" t="inlineStr">
        <is>
          <t>USA</t>
        </is>
      </c>
      <c r="D34" s="7" t="inlineStr">
        <is>
          <t>North America</t>
        </is>
      </c>
      <c r="E34" s="9" t="inlineStr">
        <is>
          <t>Orthodox</t>
        </is>
      </c>
      <c r="F34" s="7" t="inlineStr">
        <is>
          <t>Right</t>
        </is>
      </c>
      <c r="G34" s="7" t="n">
        <v>30</v>
      </c>
      <c r="H34" s="7" t="n">
        <v>14</v>
      </c>
      <c r="I34" s="7">
        <f>G34+H34</f>
        <v/>
      </c>
      <c r="J34" s="10">
        <f>IF(I34&gt;0,G34/I34*100,0)</f>
        <v/>
      </c>
    </row>
    <row r="35" ht="16" customHeight="1">
      <c r="A35" s="3" t="n">
        <v>33</v>
      </c>
      <c r="B35" s="4" t="inlineStr">
        <is>
          <t>Dominick Cruz</t>
        </is>
      </c>
      <c r="C35" s="3" t="inlineStr">
        <is>
          <t>USA</t>
        </is>
      </c>
      <c r="D35" s="3" t="inlineStr">
        <is>
          <t>North America</t>
        </is>
      </c>
      <c r="E35" s="5" t="inlineStr">
        <is>
          <t>Orthodox</t>
        </is>
      </c>
      <c r="F35" s="3" t="inlineStr">
        <is>
          <t>Right</t>
        </is>
      </c>
      <c r="G35" s="3" t="n">
        <v>24</v>
      </c>
      <c r="H35" s="3" t="n">
        <v>3</v>
      </c>
      <c r="I35" s="3">
        <f>G35+H35</f>
        <v/>
      </c>
      <c r="J35" s="6">
        <f>IF(I35&gt;0,G35/I35*100,0)</f>
        <v/>
      </c>
    </row>
    <row r="36" ht="16" customHeight="1">
      <c r="A36" s="7" t="n">
        <v>34</v>
      </c>
      <c r="B36" s="8" t="inlineStr">
        <is>
          <t>Urijah Faber</t>
        </is>
      </c>
      <c r="C36" s="7" t="inlineStr">
        <is>
          <t>USA</t>
        </is>
      </c>
      <c r="D36" s="7" t="inlineStr">
        <is>
          <t>North America</t>
        </is>
      </c>
      <c r="E36" s="9" t="inlineStr">
        <is>
          <t>Orthodox</t>
        </is>
      </c>
      <c r="F36" s="7" t="inlineStr">
        <is>
          <t>Right</t>
        </is>
      </c>
      <c r="G36" s="7" t="n">
        <v>35</v>
      </c>
      <c r="H36" s="7" t="n">
        <v>11</v>
      </c>
      <c r="I36" s="7">
        <f>G36+H36</f>
        <v/>
      </c>
      <c r="J36" s="10">
        <f>IF(I36&gt;0,G36/I36*100,0)</f>
        <v/>
      </c>
    </row>
    <row r="37" ht="16" customHeight="1">
      <c r="A37" s="3" t="n">
        <v>35</v>
      </c>
      <c r="B37" s="4" t="inlineStr">
        <is>
          <t>Jose Aldo</t>
        </is>
      </c>
      <c r="C37" s="3" t="inlineStr">
        <is>
          <t>Brazil</t>
        </is>
      </c>
      <c r="D37" s="3" t="inlineStr">
        <is>
          <t>South America</t>
        </is>
      </c>
      <c r="E37" s="5" t="inlineStr">
        <is>
          <t>Orthodox</t>
        </is>
      </c>
      <c r="F37" s="3" t="inlineStr">
        <is>
          <t>Right</t>
        </is>
      </c>
      <c r="G37" s="3" t="n">
        <v>31</v>
      </c>
      <c r="H37" s="3" t="n">
        <v>8</v>
      </c>
      <c r="I37" s="3">
        <f>G37+H37</f>
        <v/>
      </c>
      <c r="J37" s="6">
        <f>IF(I37&gt;0,G37/I37*100,0)</f>
        <v/>
      </c>
    </row>
    <row r="38" ht="16" customHeight="1">
      <c r="A38" s="7" t="n">
        <v>36</v>
      </c>
      <c r="B38" s="8" t="inlineStr">
        <is>
          <t>Benson Henderson</t>
        </is>
      </c>
      <c r="C38" s="7" t="inlineStr">
        <is>
          <t>USA</t>
        </is>
      </c>
      <c r="D38" s="7" t="inlineStr">
        <is>
          <t>North America</t>
        </is>
      </c>
      <c r="E38" s="9" t="inlineStr">
        <is>
          <t>Orthodox</t>
        </is>
      </c>
      <c r="F38" s="7" t="inlineStr">
        <is>
          <t>Right</t>
        </is>
      </c>
      <c r="G38" s="7" t="n">
        <v>28</v>
      </c>
      <c r="H38" s="7" t="n">
        <v>9</v>
      </c>
      <c r="I38" s="7">
        <f>G38+H38</f>
        <v/>
      </c>
      <c r="J38" s="10">
        <f>IF(I38&gt;0,G38/I38*100,0)</f>
        <v/>
      </c>
    </row>
    <row r="39" ht="16" customHeight="1">
      <c r="A39" s="3" t="n">
        <v>37</v>
      </c>
      <c r="B39" s="4" t="inlineStr">
        <is>
          <t>Michael Chandler</t>
        </is>
      </c>
      <c r="C39" s="3" t="inlineStr">
        <is>
          <t>USA</t>
        </is>
      </c>
      <c r="D39" s="3" t="inlineStr">
        <is>
          <t>North America</t>
        </is>
      </c>
      <c r="E39" s="5" t="inlineStr">
        <is>
          <t>Orthodox</t>
        </is>
      </c>
      <c r="F39" s="3" t="inlineStr">
        <is>
          <t>Right</t>
        </is>
      </c>
      <c r="G39" s="3" t="n">
        <v>23</v>
      </c>
      <c r="H39" s="3" t="n">
        <v>8</v>
      </c>
      <c r="I39" s="3">
        <f>G39+H39</f>
        <v/>
      </c>
      <c r="J39" s="6">
        <f>IF(I39&gt;0,G39/I39*100,0)</f>
        <v/>
      </c>
    </row>
    <row r="40" ht="16" customHeight="1">
      <c r="A40" s="12" t="n">
        <v>38</v>
      </c>
      <c r="B40" s="13" t="inlineStr">
        <is>
          <t>Sergio Pettis</t>
        </is>
      </c>
      <c r="C40" s="12" t="inlineStr">
        <is>
          <t>USA</t>
        </is>
      </c>
      <c r="D40" s="12" t="inlineStr">
        <is>
          <t>North America</t>
        </is>
      </c>
      <c r="E40" s="12" t="inlineStr">
        <is>
          <t>Southpaw</t>
        </is>
      </c>
      <c r="F40" s="12" t="inlineStr">
        <is>
          <t>Right</t>
        </is>
      </c>
      <c r="G40" s="12" t="n">
        <v>21</v>
      </c>
      <c r="H40" s="12" t="n">
        <v>5</v>
      </c>
      <c r="I40" s="12">
        <f>G40+H40</f>
        <v/>
      </c>
      <c r="J40" s="14">
        <f>IF(I40&gt;0,G40/I40*100,0)</f>
        <v/>
      </c>
    </row>
    <row r="41" ht="16" customHeight="1">
      <c r="A41" s="12" t="n">
        <v>39</v>
      </c>
      <c r="B41" s="13" t="inlineStr">
        <is>
          <t>Uriah Hall</t>
        </is>
      </c>
      <c r="C41" s="12" t="inlineStr">
        <is>
          <t>Jamaica</t>
        </is>
      </c>
      <c r="D41" s="12" t="inlineStr">
        <is>
          <t>North America</t>
        </is>
      </c>
      <c r="E41" s="12" t="inlineStr">
        <is>
          <t>Southpaw</t>
        </is>
      </c>
      <c r="F41" s="12" t="inlineStr">
        <is>
          <t>Right</t>
        </is>
      </c>
      <c r="G41" s="12" t="n">
        <v>17</v>
      </c>
      <c r="H41" s="12" t="n">
        <v>9</v>
      </c>
      <c r="I41" s="12">
        <f>G41+H41</f>
        <v/>
      </c>
      <c r="J41" s="14">
        <f>IF(I41&gt;0,G41/I41*100,0)</f>
        <v/>
      </c>
    </row>
    <row r="42" ht="16" customHeight="1">
      <c r="A42" s="7" t="n">
        <v>40</v>
      </c>
      <c r="B42" s="8" t="inlineStr">
        <is>
          <t>Diego Sanchez</t>
        </is>
      </c>
      <c r="C42" s="7" t="inlineStr">
        <is>
          <t>USA</t>
        </is>
      </c>
      <c r="D42" s="7" t="inlineStr">
        <is>
          <t>North America</t>
        </is>
      </c>
      <c r="E42" s="9" t="inlineStr">
        <is>
          <t>Orthodox</t>
        </is>
      </c>
      <c r="F42" s="7" t="inlineStr">
        <is>
          <t>Right</t>
        </is>
      </c>
      <c r="G42" s="7" t="n">
        <v>30</v>
      </c>
      <c r="H42" s="7" t="n">
        <v>14</v>
      </c>
      <c r="I42" s="7">
        <f>G42+H42</f>
        <v/>
      </c>
      <c r="J42" s="10">
        <f>IF(I42&gt;0,G42/I42*100,0)</f>
        <v/>
      </c>
    </row>
    <row r="43" ht="16" customHeight="1">
      <c r="A43" s="3" t="n">
        <v>41</v>
      </c>
      <c r="B43" s="4" t="inlineStr">
        <is>
          <t>Jim Miller</t>
        </is>
      </c>
      <c r="C43" s="3" t="inlineStr">
        <is>
          <t>USA</t>
        </is>
      </c>
      <c r="D43" s="3" t="inlineStr">
        <is>
          <t>North America</t>
        </is>
      </c>
      <c r="E43" s="5" t="inlineStr">
        <is>
          <t>Orthodox</t>
        </is>
      </c>
      <c r="F43" s="3" t="inlineStr">
        <is>
          <t>Right</t>
        </is>
      </c>
      <c r="G43" s="3" t="n">
        <v>36</v>
      </c>
      <c r="H43" s="3" t="n">
        <v>17</v>
      </c>
      <c r="I43" s="3">
        <f>G43+H43</f>
        <v/>
      </c>
      <c r="J43" s="6">
        <f>IF(I43&gt;0,G43/I43*100,0)</f>
        <v/>
      </c>
    </row>
    <row r="44" ht="16" customHeight="1">
      <c r="A44" s="7" t="n">
        <v>42</v>
      </c>
      <c r="B44" s="8" t="inlineStr">
        <is>
          <t>Clay Guida</t>
        </is>
      </c>
      <c r="C44" s="7" t="inlineStr">
        <is>
          <t>USA</t>
        </is>
      </c>
      <c r="D44" s="7" t="inlineStr">
        <is>
          <t>North America</t>
        </is>
      </c>
      <c r="E44" s="9" t="inlineStr">
        <is>
          <t>Orthodox</t>
        </is>
      </c>
      <c r="F44" s="7" t="inlineStr">
        <is>
          <t>Right</t>
        </is>
      </c>
      <c r="G44" s="7" t="n">
        <v>36</v>
      </c>
      <c r="H44" s="7" t="n">
        <v>22</v>
      </c>
      <c r="I44" s="7">
        <f>G44+H44</f>
        <v/>
      </c>
      <c r="J44" s="10">
        <f>IF(I44&gt;0,G44/I44*100,0)</f>
        <v/>
      </c>
    </row>
    <row r="45" ht="16" customHeight="1">
      <c r="A45" s="3" t="n">
        <v>43</v>
      </c>
      <c r="B45" s="4" t="inlineStr">
        <is>
          <t>Derrick Lewis</t>
        </is>
      </c>
      <c r="C45" s="3" t="inlineStr">
        <is>
          <t>USA</t>
        </is>
      </c>
      <c r="D45" s="3" t="inlineStr">
        <is>
          <t>North America</t>
        </is>
      </c>
      <c r="E45" s="5" t="inlineStr">
        <is>
          <t>Orthodox</t>
        </is>
      </c>
      <c r="F45" s="3" t="inlineStr">
        <is>
          <t>Right</t>
        </is>
      </c>
      <c r="G45" s="3" t="n">
        <v>27</v>
      </c>
      <c r="H45" s="3" t="n">
        <v>10</v>
      </c>
      <c r="I45" s="3">
        <f>G45+H45</f>
        <v/>
      </c>
      <c r="J45" s="6">
        <f>IF(I45&gt;0,G45/I45*100,0)</f>
        <v/>
      </c>
    </row>
    <row r="46" ht="16" customHeight="1">
      <c r="A46" s="7" t="n">
        <v>44</v>
      </c>
      <c r="B46" s="8" t="inlineStr">
        <is>
          <t>Curtis Blaydes</t>
        </is>
      </c>
      <c r="C46" s="7" t="inlineStr">
        <is>
          <t>USA</t>
        </is>
      </c>
      <c r="D46" s="7" t="inlineStr">
        <is>
          <t>North America</t>
        </is>
      </c>
      <c r="E46" s="9" t="inlineStr">
        <is>
          <t>Orthodox</t>
        </is>
      </c>
      <c r="F46" s="7" t="inlineStr">
        <is>
          <t>Right</t>
        </is>
      </c>
      <c r="G46" s="7" t="n">
        <v>17</v>
      </c>
      <c r="H46" s="7" t="n">
        <v>4</v>
      </c>
      <c r="I46" s="7">
        <f>G46+H46</f>
        <v/>
      </c>
      <c r="J46" s="10">
        <f>IF(I46&gt;0,G46/I46*100,0)</f>
        <v/>
      </c>
    </row>
    <row r="47" ht="16" customHeight="1">
      <c r="A47" s="3" t="n">
        <v>45</v>
      </c>
      <c r="B47" s="4" t="inlineStr">
        <is>
          <t>Anthony Smith</t>
        </is>
      </c>
      <c r="C47" s="3" t="inlineStr">
        <is>
          <t>USA</t>
        </is>
      </c>
      <c r="D47" s="3" t="inlineStr">
        <is>
          <t>North America</t>
        </is>
      </c>
      <c r="E47" s="5" t="inlineStr">
        <is>
          <t>Orthodox</t>
        </is>
      </c>
      <c r="F47" s="3" t="inlineStr">
        <is>
          <t>Right</t>
        </is>
      </c>
      <c r="G47" s="3" t="n">
        <v>36</v>
      </c>
      <c r="H47" s="3" t="n">
        <v>16</v>
      </c>
      <c r="I47" s="3">
        <f>G47+H47</f>
        <v/>
      </c>
      <c r="J47" s="6">
        <f>IF(I47&gt;0,G47/I47*100,0)</f>
        <v/>
      </c>
    </row>
    <row r="48" ht="16" customHeight="1">
      <c r="A48" s="7" t="n">
        <v>46</v>
      </c>
      <c r="B48" s="8" t="inlineStr">
        <is>
          <t>Anderson Silva</t>
        </is>
      </c>
      <c r="C48" s="7" t="inlineStr">
        <is>
          <t>Brazil</t>
        </is>
      </c>
      <c r="D48" s="7" t="inlineStr">
        <is>
          <t>South America</t>
        </is>
      </c>
      <c r="E48" s="9" t="inlineStr">
        <is>
          <t>Orthodox</t>
        </is>
      </c>
      <c r="F48" s="7" t="inlineStr">
        <is>
          <t>Right</t>
        </is>
      </c>
      <c r="G48" s="7" t="n">
        <v>34</v>
      </c>
      <c r="H48" s="7" t="n">
        <v>11</v>
      </c>
      <c r="I48" s="7">
        <f>G48+H48</f>
        <v/>
      </c>
      <c r="J48" s="10">
        <f>IF(I48&gt;0,G48/I48*100,0)</f>
        <v/>
      </c>
    </row>
    <row r="49" ht="16" customHeight="1">
      <c r="A49" s="3" t="n">
        <v>47</v>
      </c>
      <c r="B49" s="4" t="inlineStr">
        <is>
          <t>Charles Oliveira</t>
        </is>
      </c>
      <c r="C49" s="3" t="inlineStr">
        <is>
          <t>Brazil</t>
        </is>
      </c>
      <c r="D49" s="3" t="inlineStr">
        <is>
          <t>South America</t>
        </is>
      </c>
      <c r="E49" s="5" t="inlineStr">
        <is>
          <t>Orthodox</t>
        </is>
      </c>
      <c r="F49" s="3" t="inlineStr">
        <is>
          <t>Right</t>
        </is>
      </c>
      <c r="G49" s="3" t="n">
        <v>34</v>
      </c>
      <c r="H49" s="3" t="n">
        <v>9</v>
      </c>
      <c r="I49" s="3">
        <f>G49+H49</f>
        <v/>
      </c>
      <c r="J49" s="6">
        <f>IF(I49&gt;0,G49/I49*100,0)</f>
        <v/>
      </c>
    </row>
    <row r="50" ht="16" customHeight="1">
      <c r="A50" s="7" t="n">
        <v>48</v>
      </c>
      <c r="B50" s="8" t="inlineStr">
        <is>
          <t>Amanda Nunes</t>
        </is>
      </c>
      <c r="C50" s="7" t="inlineStr">
        <is>
          <t>Brazil</t>
        </is>
      </c>
      <c r="D50" s="7" t="inlineStr">
        <is>
          <t>South America</t>
        </is>
      </c>
      <c r="E50" s="9" t="inlineStr">
        <is>
          <t>Orthodox</t>
        </is>
      </c>
      <c r="F50" s="7" t="inlineStr">
        <is>
          <t>Right</t>
        </is>
      </c>
      <c r="G50" s="7" t="n">
        <v>21</v>
      </c>
      <c r="H50" s="7" t="n">
        <v>5</v>
      </c>
      <c r="I50" s="7">
        <f>G50+H50</f>
        <v/>
      </c>
      <c r="J50" s="10">
        <f>IF(I50&gt;0,G50/I50*100,0)</f>
        <v/>
      </c>
    </row>
    <row r="51" ht="16" customHeight="1">
      <c r="A51" s="3" t="n">
        <v>49</v>
      </c>
      <c r="B51" s="4" t="inlineStr">
        <is>
          <t>Cris Cyborg</t>
        </is>
      </c>
      <c r="C51" s="3" t="inlineStr">
        <is>
          <t>Brazil</t>
        </is>
      </c>
      <c r="D51" s="3" t="inlineStr">
        <is>
          <t>South America</t>
        </is>
      </c>
      <c r="E51" s="5" t="inlineStr">
        <is>
          <t>Orthodox</t>
        </is>
      </c>
      <c r="F51" s="3" t="inlineStr">
        <is>
          <t>Right</t>
        </is>
      </c>
      <c r="G51" s="3" t="n">
        <v>26</v>
      </c>
      <c r="H51" s="3" t="n">
        <v>2</v>
      </c>
      <c r="I51" s="3">
        <f>G51+H51</f>
        <v/>
      </c>
      <c r="J51" s="6">
        <f>IF(I51&gt;0,G51/I51*100,0)</f>
        <v/>
      </c>
    </row>
    <row r="52" ht="16" customHeight="1">
      <c r="A52" s="7" t="n">
        <v>50</v>
      </c>
      <c r="B52" s="8" t="inlineStr">
        <is>
          <t>Wanderlei Silva</t>
        </is>
      </c>
      <c r="C52" s="7" t="inlineStr">
        <is>
          <t>Brazil</t>
        </is>
      </c>
      <c r="D52" s="7" t="inlineStr">
        <is>
          <t>South America</t>
        </is>
      </c>
      <c r="E52" s="11" t="inlineStr">
        <is>
          <t>Southpaw</t>
        </is>
      </c>
      <c r="F52" s="7" t="inlineStr">
        <is>
          <t>Left</t>
        </is>
      </c>
      <c r="G52" s="7" t="n">
        <v>35</v>
      </c>
      <c r="H52" s="7" t="n">
        <v>13</v>
      </c>
      <c r="I52" s="7">
        <f>G52+H52</f>
        <v/>
      </c>
      <c r="J52" s="10">
        <f>IF(I52&gt;0,G52/I52*100,0)</f>
        <v/>
      </c>
    </row>
    <row r="53" ht="16" customHeight="1">
      <c r="A53" s="3" t="n">
        <v>51</v>
      </c>
      <c r="B53" s="4" t="inlineStr">
        <is>
          <t>Lyoto Machida</t>
        </is>
      </c>
      <c r="C53" s="3" t="inlineStr">
        <is>
          <t>Brazil</t>
        </is>
      </c>
      <c r="D53" s="3" t="inlineStr">
        <is>
          <t>South America</t>
        </is>
      </c>
      <c r="E53" s="15" t="inlineStr">
        <is>
          <t>Southpaw</t>
        </is>
      </c>
      <c r="F53" s="3" t="inlineStr">
        <is>
          <t>Left</t>
        </is>
      </c>
      <c r="G53" s="3" t="n">
        <v>26</v>
      </c>
      <c r="H53" s="3" t="n">
        <v>9</v>
      </c>
      <c r="I53" s="3">
        <f>G53+H53</f>
        <v/>
      </c>
      <c r="J53" s="6">
        <f>IF(I53&gt;0,G53/I53*100,0)</f>
        <v/>
      </c>
    </row>
    <row r="54" ht="16" customHeight="1">
      <c r="A54" s="7" t="n">
        <v>52</v>
      </c>
      <c r="B54" s="8" t="inlineStr">
        <is>
          <t>Fabricio Werdum</t>
        </is>
      </c>
      <c r="C54" s="7" t="inlineStr">
        <is>
          <t>Brazil</t>
        </is>
      </c>
      <c r="D54" s="7" t="inlineStr">
        <is>
          <t>South America</t>
        </is>
      </c>
      <c r="E54" s="9" t="inlineStr">
        <is>
          <t>Orthodox</t>
        </is>
      </c>
      <c r="F54" s="7" t="inlineStr">
        <is>
          <t>Right</t>
        </is>
      </c>
      <c r="G54" s="7" t="n">
        <v>24</v>
      </c>
      <c r="H54" s="7" t="n">
        <v>10</v>
      </c>
      <c r="I54" s="7">
        <f>G54+H54</f>
        <v/>
      </c>
      <c r="J54" s="10">
        <f>IF(I54&gt;0,G54/I54*100,0)</f>
        <v/>
      </c>
    </row>
    <row r="55" ht="16" customHeight="1">
      <c r="A55" s="3" t="n">
        <v>53</v>
      </c>
      <c r="B55" s="4" t="inlineStr">
        <is>
          <t>Junior Dos Santos</t>
        </is>
      </c>
      <c r="C55" s="3" t="inlineStr">
        <is>
          <t>Brazil</t>
        </is>
      </c>
      <c r="D55" s="3" t="inlineStr">
        <is>
          <t>South America</t>
        </is>
      </c>
      <c r="E55" s="5" t="inlineStr">
        <is>
          <t>Orthodox</t>
        </is>
      </c>
      <c r="F55" s="3" t="inlineStr">
        <is>
          <t>Right</t>
        </is>
      </c>
      <c r="G55" s="3" t="n">
        <v>21</v>
      </c>
      <c r="H55" s="3" t="n">
        <v>9</v>
      </c>
      <c r="I55" s="3">
        <f>G55+H55</f>
        <v/>
      </c>
      <c r="J55" s="6">
        <f>IF(I55&gt;0,G55/I55*100,0)</f>
        <v/>
      </c>
    </row>
    <row r="56" ht="16" customHeight="1">
      <c r="A56" s="7" t="n">
        <v>54</v>
      </c>
      <c r="B56" s="8" t="inlineStr">
        <is>
          <t>Deiveson Figueiredo</t>
        </is>
      </c>
      <c r="C56" s="7" t="inlineStr">
        <is>
          <t>Brazil</t>
        </is>
      </c>
      <c r="D56" s="7" t="inlineStr">
        <is>
          <t>South America</t>
        </is>
      </c>
      <c r="E56" s="9" t="inlineStr">
        <is>
          <t>Orthodox</t>
        </is>
      </c>
      <c r="F56" s="7" t="inlineStr">
        <is>
          <t>Right</t>
        </is>
      </c>
      <c r="G56" s="7" t="n">
        <v>22</v>
      </c>
      <c r="H56" s="7" t="n">
        <v>4</v>
      </c>
      <c r="I56" s="7">
        <f>G56+H56</f>
        <v/>
      </c>
      <c r="J56" s="10">
        <f>IF(I56&gt;0,G56/I56*100,0)</f>
        <v/>
      </c>
    </row>
    <row r="57" ht="16" customHeight="1">
      <c r="A57" s="3" t="n">
        <v>55</v>
      </c>
      <c r="B57" s="4" t="inlineStr">
        <is>
          <t>Alex Pereira</t>
        </is>
      </c>
      <c r="C57" s="3" t="inlineStr">
        <is>
          <t>Brazil</t>
        </is>
      </c>
      <c r="D57" s="3" t="inlineStr">
        <is>
          <t>South America</t>
        </is>
      </c>
      <c r="E57" s="5" t="inlineStr">
        <is>
          <t>Orthodox</t>
        </is>
      </c>
      <c r="F57" s="3" t="inlineStr">
        <is>
          <t>Right</t>
        </is>
      </c>
      <c r="G57" s="3" t="n">
        <v>10</v>
      </c>
      <c r="H57" s="3" t="n">
        <v>2</v>
      </c>
      <c r="I57" s="3">
        <f>G57+H57</f>
        <v/>
      </c>
      <c r="J57" s="6">
        <f>IF(I57&gt;0,G57/I57*100,0)</f>
        <v/>
      </c>
    </row>
    <row r="58" ht="16" customHeight="1">
      <c r="A58" s="7" t="n">
        <v>56</v>
      </c>
      <c r="B58" s="8" t="inlineStr">
        <is>
          <t>Demian Maia</t>
        </is>
      </c>
      <c r="C58" s="7" t="inlineStr">
        <is>
          <t>Brazil</t>
        </is>
      </c>
      <c r="D58" s="7" t="inlineStr">
        <is>
          <t>South America</t>
        </is>
      </c>
      <c r="E58" s="9" t="inlineStr">
        <is>
          <t>Orthodox</t>
        </is>
      </c>
      <c r="F58" s="7" t="inlineStr">
        <is>
          <t>Right</t>
        </is>
      </c>
      <c r="G58" s="7" t="n">
        <v>29</v>
      </c>
      <c r="H58" s="7" t="n">
        <v>10</v>
      </c>
      <c r="I58" s="7">
        <f>G58+H58</f>
        <v/>
      </c>
      <c r="J58" s="10">
        <f>IF(I58&gt;0,G58/I58*100,0)</f>
        <v/>
      </c>
    </row>
    <row r="59" ht="16" customHeight="1">
      <c r="A59" s="3" t="n">
        <v>57</v>
      </c>
      <c r="B59" s="4" t="inlineStr">
        <is>
          <t>Thiago Alves</t>
        </is>
      </c>
      <c r="C59" s="3" t="inlineStr">
        <is>
          <t>Brazil</t>
        </is>
      </c>
      <c r="D59" s="3" t="inlineStr">
        <is>
          <t>South America</t>
        </is>
      </c>
      <c r="E59" s="5" t="inlineStr">
        <is>
          <t>Orthodox</t>
        </is>
      </c>
      <c r="F59" s="3" t="inlineStr">
        <is>
          <t>Right</t>
        </is>
      </c>
      <c r="G59" s="3" t="n">
        <v>22</v>
      </c>
      <c r="H59" s="3" t="n">
        <v>12</v>
      </c>
      <c r="I59" s="3">
        <f>G59+H59</f>
        <v/>
      </c>
      <c r="J59" s="6">
        <f>IF(I59&gt;0,G59/I59*100,0)</f>
        <v/>
      </c>
    </row>
    <row r="60" ht="16" customHeight="1">
      <c r="A60" s="7" t="n">
        <v>58</v>
      </c>
      <c r="B60" s="8" t="inlineStr">
        <is>
          <t>Glover Teixeira</t>
        </is>
      </c>
      <c r="C60" s="7" t="inlineStr">
        <is>
          <t>Brazil</t>
        </is>
      </c>
      <c r="D60" s="7" t="inlineStr">
        <is>
          <t>South America</t>
        </is>
      </c>
      <c r="E60" s="9" t="inlineStr">
        <is>
          <t>Orthodox</t>
        </is>
      </c>
      <c r="F60" s="7" t="inlineStr">
        <is>
          <t>Right</t>
        </is>
      </c>
      <c r="G60" s="7" t="n">
        <v>33</v>
      </c>
      <c r="H60" s="7" t="n">
        <v>8</v>
      </c>
      <c r="I60" s="7">
        <f>G60+H60</f>
        <v/>
      </c>
      <c r="J60" s="10">
        <f>IF(I60&gt;0,G60/I60*100,0)</f>
        <v/>
      </c>
    </row>
    <row r="61" ht="16" customHeight="1">
      <c r="A61" s="3" t="n">
        <v>59</v>
      </c>
      <c r="B61" s="4" t="inlineStr">
        <is>
          <t>Mauricio Rua</t>
        </is>
      </c>
      <c r="C61" s="3" t="inlineStr">
        <is>
          <t>Brazil</t>
        </is>
      </c>
      <c r="D61" s="3" t="inlineStr">
        <is>
          <t>South America</t>
        </is>
      </c>
      <c r="E61" s="5" t="inlineStr">
        <is>
          <t>Orthodox</t>
        </is>
      </c>
      <c r="F61" s="3" t="inlineStr">
        <is>
          <t>Right</t>
        </is>
      </c>
      <c r="G61" s="3" t="n">
        <v>27</v>
      </c>
      <c r="H61" s="3" t="n">
        <v>13</v>
      </c>
      <c r="I61" s="3">
        <f>G61+H61</f>
        <v/>
      </c>
      <c r="J61" s="6">
        <f>IF(I61&gt;0,G61/I61*100,0)</f>
        <v/>
      </c>
    </row>
    <row r="62" ht="16" customHeight="1">
      <c r="A62" s="7" t="n">
        <v>60</v>
      </c>
      <c r="B62" s="8" t="inlineStr">
        <is>
          <t>Rafael Dos Anjos</t>
        </is>
      </c>
      <c r="C62" s="7" t="inlineStr">
        <is>
          <t>Brazil</t>
        </is>
      </c>
      <c r="D62" s="7" t="inlineStr">
        <is>
          <t>South America</t>
        </is>
      </c>
      <c r="E62" s="9" t="inlineStr">
        <is>
          <t>Orthodox</t>
        </is>
      </c>
      <c r="F62" s="7" t="inlineStr">
        <is>
          <t>Right</t>
        </is>
      </c>
      <c r="G62" s="7" t="n">
        <v>30</v>
      </c>
      <c r="H62" s="7" t="n">
        <v>14</v>
      </c>
      <c r="I62" s="7">
        <f>G62+H62</f>
        <v/>
      </c>
      <c r="J62" s="10">
        <f>IF(I62&gt;0,G62/I62*100,0)</f>
        <v/>
      </c>
    </row>
    <row r="63" ht="16" customHeight="1">
      <c r="A63" s="3" t="n">
        <v>61</v>
      </c>
      <c r="B63" s="4" t="inlineStr">
        <is>
          <t>Marlon Vera</t>
        </is>
      </c>
      <c r="C63" s="3" t="inlineStr">
        <is>
          <t>Ecuador</t>
        </is>
      </c>
      <c r="D63" s="3" t="inlineStr">
        <is>
          <t>South America</t>
        </is>
      </c>
      <c r="E63" s="5" t="inlineStr">
        <is>
          <t>Orthodox</t>
        </is>
      </c>
      <c r="F63" s="3" t="inlineStr">
        <is>
          <t>Right</t>
        </is>
      </c>
      <c r="G63" s="3" t="n">
        <v>22</v>
      </c>
      <c r="H63" s="3" t="n">
        <v>8</v>
      </c>
      <c r="I63" s="3">
        <f>G63+H63</f>
        <v/>
      </c>
      <c r="J63" s="6">
        <f>IF(I63&gt;0,G63/I63*100,0)</f>
        <v/>
      </c>
    </row>
    <row r="64" ht="16" customHeight="1">
      <c r="A64" s="7" t="n">
        <v>62</v>
      </c>
      <c r="B64" s="8" t="inlineStr">
        <is>
          <t>Brandon Moreno</t>
        </is>
      </c>
      <c r="C64" s="7" t="inlineStr">
        <is>
          <t>Mexico</t>
        </is>
      </c>
      <c r="D64" s="7" t="inlineStr">
        <is>
          <t>North America</t>
        </is>
      </c>
      <c r="E64" s="9" t="inlineStr">
        <is>
          <t>Orthodox</t>
        </is>
      </c>
      <c r="F64" s="7" t="inlineStr">
        <is>
          <t>Right</t>
        </is>
      </c>
      <c r="G64" s="7" t="n">
        <v>22</v>
      </c>
      <c r="H64" s="7" t="n">
        <v>6</v>
      </c>
      <c r="I64" s="7">
        <f>G64+H64</f>
        <v/>
      </c>
      <c r="J64" s="10">
        <f>IF(I64&gt;0,G64/I64*100,0)</f>
        <v/>
      </c>
    </row>
    <row r="65" ht="16" customHeight="1">
      <c r="A65" s="12" t="n">
        <v>63</v>
      </c>
      <c r="B65" s="13" t="inlineStr">
        <is>
          <t>Yair Rodriguez</t>
        </is>
      </c>
      <c r="C65" s="12" t="inlineStr">
        <is>
          <t>Mexico</t>
        </is>
      </c>
      <c r="D65" s="12" t="inlineStr">
        <is>
          <t>North America</t>
        </is>
      </c>
      <c r="E65" s="12" t="inlineStr">
        <is>
          <t>Southpaw</t>
        </is>
      </c>
      <c r="F65" s="12" t="inlineStr">
        <is>
          <t>Right</t>
        </is>
      </c>
      <c r="G65" s="12" t="n">
        <v>15</v>
      </c>
      <c r="H65" s="12" t="n">
        <v>4</v>
      </c>
      <c r="I65" s="12">
        <f>G65+H65</f>
        <v/>
      </c>
      <c r="J65" s="14">
        <f>IF(I65&gt;0,G65/I65*100,0)</f>
        <v/>
      </c>
    </row>
    <row r="66" ht="16" customHeight="1">
      <c r="A66" s="7" t="n">
        <v>64</v>
      </c>
      <c r="B66" s="8" t="inlineStr">
        <is>
          <t>Alexa Grasso</t>
        </is>
      </c>
      <c r="C66" s="7" t="inlineStr">
        <is>
          <t>Mexico</t>
        </is>
      </c>
      <c r="D66" s="7" t="inlineStr">
        <is>
          <t>North America</t>
        </is>
      </c>
      <c r="E66" s="11" t="inlineStr">
        <is>
          <t>Southpaw</t>
        </is>
      </c>
      <c r="F66" s="7" t="inlineStr">
        <is>
          <t>Left</t>
        </is>
      </c>
      <c r="G66" s="7" t="n">
        <v>16</v>
      </c>
      <c r="H66" s="7" t="n">
        <v>3</v>
      </c>
      <c r="I66" s="7">
        <f>G66+H66</f>
        <v/>
      </c>
      <c r="J66" s="10">
        <f>IF(I66&gt;0,G66/I66*100,0)</f>
        <v/>
      </c>
    </row>
    <row r="67" ht="16" customHeight="1">
      <c r="A67" s="3" t="n">
        <v>65</v>
      </c>
      <c r="B67" s="4" t="inlineStr">
        <is>
          <t>Cain Velasquez</t>
        </is>
      </c>
      <c r="C67" s="3" t="inlineStr">
        <is>
          <t>Mexico</t>
        </is>
      </c>
      <c r="D67" s="3" t="inlineStr">
        <is>
          <t>North America</t>
        </is>
      </c>
      <c r="E67" s="5" t="inlineStr">
        <is>
          <t>Orthodox</t>
        </is>
      </c>
      <c r="F67" s="3" t="inlineStr">
        <is>
          <t>Right</t>
        </is>
      </c>
      <c r="G67" s="3" t="n">
        <v>14</v>
      </c>
      <c r="H67" s="3" t="n">
        <v>3</v>
      </c>
      <c r="I67" s="3">
        <f>G67+H67</f>
        <v/>
      </c>
      <c r="J67" s="6">
        <f>IF(I67&gt;0,G67/I67*100,0)</f>
        <v/>
      </c>
    </row>
    <row r="68" ht="16" customHeight="1">
      <c r="A68" s="7" t="n">
        <v>66</v>
      </c>
      <c r="B68" s="8" t="inlineStr">
        <is>
          <t>Khabib Nurmagomedov</t>
        </is>
      </c>
      <c r="C68" s="7" t="inlineStr">
        <is>
          <t>Russia</t>
        </is>
      </c>
      <c r="D68" s="7" t="inlineStr">
        <is>
          <t>Europe</t>
        </is>
      </c>
      <c r="E68" s="9" t="inlineStr">
        <is>
          <t>Orthodox</t>
        </is>
      </c>
      <c r="F68" s="7" t="inlineStr">
        <is>
          <t>Right</t>
        </is>
      </c>
      <c r="G68" s="7" t="n">
        <v>29</v>
      </c>
      <c r="H68" s="7" t="n">
        <v>0</v>
      </c>
      <c r="I68" s="7">
        <f>G68+H68</f>
        <v/>
      </c>
      <c r="J68" s="10">
        <f>IF(I68&gt;0,G68/I68*100,0)</f>
        <v/>
      </c>
    </row>
    <row r="69" ht="16" customHeight="1">
      <c r="A69" s="3" t="n">
        <v>67</v>
      </c>
      <c r="B69" s="4" t="inlineStr">
        <is>
          <t>Islam Makhachev</t>
        </is>
      </c>
      <c r="C69" s="3" t="inlineStr">
        <is>
          <t>Russia</t>
        </is>
      </c>
      <c r="D69" s="3" t="inlineStr">
        <is>
          <t>Europe</t>
        </is>
      </c>
      <c r="E69" s="5" t="inlineStr">
        <is>
          <t>Orthodox</t>
        </is>
      </c>
      <c r="F69" s="3" t="inlineStr">
        <is>
          <t>Right</t>
        </is>
      </c>
      <c r="G69" s="3" t="n">
        <v>25</v>
      </c>
      <c r="H69" s="3" t="n">
        <v>1</v>
      </c>
      <c r="I69" s="3">
        <f>G69+H69</f>
        <v/>
      </c>
      <c r="J69" s="6">
        <f>IF(I69&gt;0,G69/I69*100,0)</f>
        <v/>
      </c>
    </row>
    <row r="70" ht="16" customHeight="1">
      <c r="A70" s="7" t="n">
        <v>68</v>
      </c>
      <c r="B70" s="8" t="inlineStr">
        <is>
          <t>Petr Yan</t>
        </is>
      </c>
      <c r="C70" s="7" t="inlineStr">
        <is>
          <t>Russia</t>
        </is>
      </c>
      <c r="D70" s="7" t="inlineStr">
        <is>
          <t>Europe</t>
        </is>
      </c>
      <c r="E70" s="9" t="inlineStr">
        <is>
          <t>Orthodox</t>
        </is>
      </c>
      <c r="F70" s="7" t="inlineStr">
        <is>
          <t>Right</t>
        </is>
      </c>
      <c r="G70" s="7" t="n">
        <v>16</v>
      </c>
      <c r="H70" s="7" t="n">
        <v>4</v>
      </c>
      <c r="I70" s="7">
        <f>G70+H70</f>
        <v/>
      </c>
      <c r="J70" s="10">
        <f>IF(I70&gt;0,G70/I70*100,0)</f>
        <v/>
      </c>
    </row>
    <row r="71" ht="16" customHeight="1">
      <c r="A71" s="3" t="n">
        <v>69</v>
      </c>
      <c r="B71" s="4" t="inlineStr">
        <is>
          <t>Magomed Ankalaev</t>
        </is>
      </c>
      <c r="C71" s="3" t="inlineStr">
        <is>
          <t>Russia</t>
        </is>
      </c>
      <c r="D71" s="3" t="inlineStr">
        <is>
          <t>Europe</t>
        </is>
      </c>
      <c r="E71" s="5" t="inlineStr">
        <is>
          <t>Orthodox</t>
        </is>
      </c>
      <c r="F71" s="3" t="inlineStr">
        <is>
          <t>Right</t>
        </is>
      </c>
      <c r="G71" s="3" t="n">
        <v>18</v>
      </c>
      <c r="H71" s="3" t="n">
        <v>1</v>
      </c>
      <c r="I71" s="3">
        <f>G71+H71</f>
        <v/>
      </c>
      <c r="J71" s="6">
        <f>IF(I71&gt;0,G71/I71*100,0)</f>
        <v/>
      </c>
    </row>
    <row r="72" ht="16" customHeight="1">
      <c r="A72" s="7" t="n">
        <v>70</v>
      </c>
      <c r="B72" s="8" t="inlineStr">
        <is>
          <t>Zabit Magomedsharipov</t>
        </is>
      </c>
      <c r="C72" s="7" t="inlineStr">
        <is>
          <t>Russia</t>
        </is>
      </c>
      <c r="D72" s="7" t="inlineStr">
        <is>
          <t>Europe</t>
        </is>
      </c>
      <c r="E72" s="11" t="inlineStr">
        <is>
          <t>Southpaw</t>
        </is>
      </c>
      <c r="F72" s="7" t="inlineStr">
        <is>
          <t>Left</t>
        </is>
      </c>
      <c r="G72" s="7" t="n">
        <v>18</v>
      </c>
      <c r="H72" s="7" t="n">
        <v>1</v>
      </c>
      <c r="I72" s="7">
        <f>G72+H72</f>
        <v/>
      </c>
      <c r="J72" s="10">
        <f>IF(I72&gt;0,G72/I72*100,0)</f>
        <v/>
      </c>
    </row>
    <row r="73" ht="16" customHeight="1">
      <c r="A73" s="3" t="n">
        <v>71</v>
      </c>
      <c r="B73" s="4" t="inlineStr">
        <is>
          <t>Fedor Emelianenko</t>
        </is>
      </c>
      <c r="C73" s="3" t="inlineStr">
        <is>
          <t>Russia</t>
        </is>
      </c>
      <c r="D73" s="3" t="inlineStr">
        <is>
          <t>Europe</t>
        </is>
      </c>
      <c r="E73" s="15" t="inlineStr">
        <is>
          <t>Southpaw</t>
        </is>
      </c>
      <c r="F73" s="3" t="inlineStr">
        <is>
          <t>Left</t>
        </is>
      </c>
      <c r="G73" s="3" t="n">
        <v>40</v>
      </c>
      <c r="H73" s="3" t="n">
        <v>6</v>
      </c>
      <c r="I73" s="3">
        <f>G73+H73</f>
        <v/>
      </c>
      <c r="J73" s="6">
        <f>IF(I73&gt;0,G73/I73*100,0)</f>
        <v/>
      </c>
    </row>
    <row r="74" ht="16" customHeight="1">
      <c r="A74" s="7" t="n">
        <v>72</v>
      </c>
      <c r="B74" s="8" t="inlineStr">
        <is>
          <t>Alexei Oleinik</t>
        </is>
      </c>
      <c r="C74" s="7" t="inlineStr">
        <is>
          <t>Russia</t>
        </is>
      </c>
      <c r="D74" s="7" t="inlineStr">
        <is>
          <t>Europe</t>
        </is>
      </c>
      <c r="E74" s="9" t="inlineStr">
        <is>
          <t>Orthodox</t>
        </is>
      </c>
      <c r="F74" s="7" t="inlineStr">
        <is>
          <t>Right</t>
        </is>
      </c>
      <c r="G74" s="7" t="n">
        <v>59</v>
      </c>
      <c r="H74" s="7" t="n">
        <v>16</v>
      </c>
      <c r="I74" s="7">
        <f>G74+H74</f>
        <v/>
      </c>
      <c r="J74" s="10">
        <f>IF(I74&gt;0,G74/I74*100,0)</f>
        <v/>
      </c>
    </row>
    <row r="75" ht="16" customHeight="1">
      <c r="A75" s="3" t="n">
        <v>73</v>
      </c>
      <c r="B75" s="4" t="inlineStr">
        <is>
          <t>Jiri Prochazka</t>
        </is>
      </c>
      <c r="C75" s="3" t="inlineStr">
        <is>
          <t>Czech Rep.</t>
        </is>
      </c>
      <c r="D75" s="3" t="inlineStr">
        <is>
          <t>Europe</t>
        </is>
      </c>
      <c r="E75" s="15" t="inlineStr">
        <is>
          <t>Southpaw</t>
        </is>
      </c>
      <c r="F75" s="3" t="inlineStr">
        <is>
          <t>Left</t>
        </is>
      </c>
      <c r="G75" s="3" t="n">
        <v>29</v>
      </c>
      <c r="H75" s="3" t="n">
        <v>4</v>
      </c>
      <c r="I75" s="3">
        <f>G75+H75</f>
        <v/>
      </c>
      <c r="J75" s="6">
        <f>IF(I75&gt;0,G75/I75*100,0)</f>
        <v/>
      </c>
    </row>
    <row r="76" ht="16" customHeight="1">
      <c r="A76" s="7" t="n">
        <v>74</v>
      </c>
      <c r="B76" s="8" t="inlineStr">
        <is>
          <t>Joanna Jedrzejczyk</t>
        </is>
      </c>
      <c r="C76" s="7" t="inlineStr">
        <is>
          <t>Poland</t>
        </is>
      </c>
      <c r="D76" s="7" t="inlineStr">
        <is>
          <t>Europe</t>
        </is>
      </c>
      <c r="E76" s="9" t="inlineStr">
        <is>
          <t>Orthodox</t>
        </is>
      </c>
      <c r="F76" s="7" t="inlineStr">
        <is>
          <t>Right</t>
        </is>
      </c>
      <c r="G76" s="7" t="n">
        <v>16</v>
      </c>
      <c r="H76" s="7" t="n">
        <v>5</v>
      </c>
      <c r="I76" s="7">
        <f>G76+H76</f>
        <v/>
      </c>
      <c r="J76" s="10">
        <f>IF(I76&gt;0,G76/I76*100,0)</f>
        <v/>
      </c>
    </row>
    <row r="77" ht="16" customHeight="1">
      <c r="A77" s="3" t="n">
        <v>75</v>
      </c>
      <c r="B77" s="4" t="inlineStr">
        <is>
          <t>Jan Blachowicz</t>
        </is>
      </c>
      <c r="C77" s="3" t="inlineStr">
        <is>
          <t>Poland</t>
        </is>
      </c>
      <c r="D77" s="3" t="inlineStr">
        <is>
          <t>Europe</t>
        </is>
      </c>
      <c r="E77" s="5" t="inlineStr">
        <is>
          <t>Orthodox</t>
        </is>
      </c>
      <c r="F77" s="3" t="inlineStr">
        <is>
          <t>Right</t>
        </is>
      </c>
      <c r="G77" s="3" t="n">
        <v>28</v>
      </c>
      <c r="H77" s="3" t="n">
        <v>10</v>
      </c>
      <c r="I77" s="3">
        <f>G77+H77</f>
        <v/>
      </c>
      <c r="J77" s="6">
        <f>IF(I77&gt;0,G77/I77*100,0)</f>
        <v/>
      </c>
    </row>
    <row r="78" ht="16" customHeight="1">
      <c r="A78" s="7" t="n">
        <v>76</v>
      </c>
      <c r="B78" s="8" t="inlineStr">
        <is>
          <t>Mateusz Gamrot</t>
        </is>
      </c>
      <c r="C78" s="7" t="inlineStr">
        <is>
          <t>Poland</t>
        </is>
      </c>
      <c r="D78" s="7" t="inlineStr">
        <is>
          <t>Europe</t>
        </is>
      </c>
      <c r="E78" s="9" t="inlineStr">
        <is>
          <t>Orthodox</t>
        </is>
      </c>
      <c r="F78" s="7" t="inlineStr">
        <is>
          <t>Right</t>
        </is>
      </c>
      <c r="G78" s="7" t="n">
        <v>22</v>
      </c>
      <c r="H78" s="7" t="n">
        <v>1</v>
      </c>
      <c r="I78" s="7">
        <f>G78+H78</f>
        <v/>
      </c>
      <c r="J78" s="10">
        <f>IF(I78&gt;0,G78/I78*100,0)</f>
        <v/>
      </c>
    </row>
    <row r="79" ht="16" customHeight="1">
      <c r="A79" s="3" t="n">
        <v>77</v>
      </c>
      <c r="B79" s="4" t="inlineStr">
        <is>
          <t>Andre Arlovski</t>
        </is>
      </c>
      <c r="C79" s="3" t="inlineStr">
        <is>
          <t>Belarus</t>
        </is>
      </c>
      <c r="D79" s="3" t="inlineStr">
        <is>
          <t>Europe</t>
        </is>
      </c>
      <c r="E79" s="5" t="inlineStr">
        <is>
          <t>Orthodox</t>
        </is>
      </c>
      <c r="F79" s="3" t="inlineStr">
        <is>
          <t>Right</t>
        </is>
      </c>
      <c r="G79" s="3" t="n">
        <v>34</v>
      </c>
      <c r="H79" s="3" t="n">
        <v>22</v>
      </c>
      <c r="I79" s="3">
        <f>G79+H79</f>
        <v/>
      </c>
      <c r="J79" s="6">
        <f>IF(I79&gt;0,G79/I79*100,0)</f>
        <v/>
      </c>
    </row>
    <row r="80" ht="16" customHeight="1">
      <c r="A80" s="7" t="n">
        <v>78</v>
      </c>
      <c r="B80" s="8" t="inlineStr">
        <is>
          <t>Mirko Cro Cop</t>
        </is>
      </c>
      <c r="C80" s="7" t="inlineStr">
        <is>
          <t>Croatia</t>
        </is>
      </c>
      <c r="D80" s="7" t="inlineStr">
        <is>
          <t>Europe</t>
        </is>
      </c>
      <c r="E80" s="11" t="inlineStr">
        <is>
          <t>Southpaw</t>
        </is>
      </c>
      <c r="F80" s="7" t="inlineStr">
        <is>
          <t>Left</t>
        </is>
      </c>
      <c r="G80" s="7" t="n">
        <v>38</v>
      </c>
      <c r="H80" s="7" t="n">
        <v>13</v>
      </c>
      <c r="I80" s="7">
        <f>G80+H80</f>
        <v/>
      </c>
      <c r="J80" s="10">
        <f>IF(I80&gt;0,G80/I80*100,0)</f>
        <v/>
      </c>
    </row>
    <row r="81" ht="16" customHeight="1">
      <c r="A81" s="3" t="n">
        <v>79</v>
      </c>
      <c r="B81" s="4" t="inlineStr">
        <is>
          <t>Nikita Krylov</t>
        </is>
      </c>
      <c r="C81" s="3" t="inlineStr">
        <is>
          <t>Ukraine</t>
        </is>
      </c>
      <c r="D81" s="3" t="inlineStr">
        <is>
          <t>Europe</t>
        </is>
      </c>
      <c r="E81" s="5" t="inlineStr">
        <is>
          <t>Orthodox</t>
        </is>
      </c>
      <c r="F81" s="3" t="inlineStr">
        <is>
          <t>Right</t>
        </is>
      </c>
      <c r="G81" s="3" t="n">
        <v>30</v>
      </c>
      <c r="H81" s="3" t="n">
        <v>10</v>
      </c>
      <c r="I81" s="3">
        <f>G81+H81</f>
        <v/>
      </c>
      <c r="J81" s="6">
        <f>IF(I81&gt;0,G81/I81*100,0)</f>
        <v/>
      </c>
    </row>
    <row r="82" ht="16" customHeight="1">
      <c r="A82" s="12" t="n">
        <v>80</v>
      </c>
      <c r="B82" s="13" t="inlineStr">
        <is>
          <t>Conor McGregor</t>
        </is>
      </c>
      <c r="C82" s="12" t="inlineStr">
        <is>
          <t>Ireland</t>
        </is>
      </c>
      <c r="D82" s="12" t="inlineStr">
        <is>
          <t>Europe</t>
        </is>
      </c>
      <c r="E82" s="12" t="inlineStr">
        <is>
          <t>Southpaw</t>
        </is>
      </c>
      <c r="F82" s="12" t="inlineStr">
        <is>
          <t>Right</t>
        </is>
      </c>
      <c r="G82" s="12" t="n">
        <v>22</v>
      </c>
      <c r="H82" s="12" t="n">
        <v>6</v>
      </c>
      <c r="I82" s="12">
        <f>G82+H82</f>
        <v/>
      </c>
      <c r="J82" s="14">
        <f>IF(I82&gt;0,G82/I82*100,0)</f>
        <v/>
      </c>
    </row>
    <row r="83" ht="16" customHeight="1">
      <c r="A83" s="3" t="n">
        <v>81</v>
      </c>
      <c r="B83" s="4" t="inlineStr">
        <is>
          <t>Paddy Pimblett</t>
        </is>
      </c>
      <c r="C83" s="3" t="inlineStr">
        <is>
          <t>UK</t>
        </is>
      </c>
      <c r="D83" s="3" t="inlineStr">
        <is>
          <t>Europe</t>
        </is>
      </c>
      <c r="E83" s="5" t="inlineStr">
        <is>
          <t>Orthodox</t>
        </is>
      </c>
      <c r="F83" s="3" t="inlineStr">
        <is>
          <t>Right</t>
        </is>
      </c>
      <c r="G83" s="3" t="n">
        <v>20</v>
      </c>
      <c r="H83" s="3" t="n">
        <v>3</v>
      </c>
      <c r="I83" s="3">
        <f>G83+H83</f>
        <v/>
      </c>
      <c r="J83" s="6">
        <f>IF(I83&gt;0,G83/I83*100,0)</f>
        <v/>
      </c>
    </row>
    <row r="84" ht="16" customHeight="1">
      <c r="A84" s="7" t="n">
        <v>82</v>
      </c>
      <c r="B84" s="8" t="inlineStr">
        <is>
          <t>Tom Aspinall</t>
        </is>
      </c>
      <c r="C84" s="7" t="inlineStr">
        <is>
          <t>UK</t>
        </is>
      </c>
      <c r="D84" s="7" t="inlineStr">
        <is>
          <t>Europe</t>
        </is>
      </c>
      <c r="E84" s="9" t="inlineStr">
        <is>
          <t>Orthodox</t>
        </is>
      </c>
      <c r="F84" s="7" t="inlineStr">
        <is>
          <t>Right</t>
        </is>
      </c>
      <c r="G84" s="7" t="n">
        <v>15</v>
      </c>
      <c r="H84" s="7" t="n">
        <v>3</v>
      </c>
      <c r="I84" s="7">
        <f>G84+H84</f>
        <v/>
      </c>
      <c r="J84" s="10">
        <f>IF(I84&gt;0,G84/I84*100,0)</f>
        <v/>
      </c>
    </row>
    <row r="85" ht="16" customHeight="1">
      <c r="A85" s="3" t="n">
        <v>83</v>
      </c>
      <c r="B85" s="4" t="inlineStr">
        <is>
          <t>Michael Bisping</t>
        </is>
      </c>
      <c r="C85" s="3" t="inlineStr">
        <is>
          <t>UK</t>
        </is>
      </c>
      <c r="D85" s="3" t="inlineStr">
        <is>
          <t>Europe</t>
        </is>
      </c>
      <c r="E85" s="5" t="inlineStr">
        <is>
          <t>Orthodox</t>
        </is>
      </c>
      <c r="F85" s="3" t="inlineStr">
        <is>
          <t>Right</t>
        </is>
      </c>
      <c r="G85" s="3" t="n">
        <v>30</v>
      </c>
      <c r="H85" s="3" t="n">
        <v>9</v>
      </c>
      <c r="I85" s="3">
        <f>G85+H85</f>
        <v/>
      </c>
      <c r="J85" s="6">
        <f>IF(I85&gt;0,G85/I85*100,0)</f>
        <v/>
      </c>
    </row>
    <row r="86" ht="16" customHeight="1">
      <c r="A86" s="7" t="n">
        <v>84</v>
      </c>
      <c r="B86" s="8" t="inlineStr">
        <is>
          <t>Dan Hardy</t>
        </is>
      </c>
      <c r="C86" s="7" t="inlineStr">
        <is>
          <t>UK</t>
        </is>
      </c>
      <c r="D86" s="7" t="inlineStr">
        <is>
          <t>Europe</t>
        </is>
      </c>
      <c r="E86" s="9" t="inlineStr">
        <is>
          <t>Orthodox</t>
        </is>
      </c>
      <c r="F86" s="7" t="inlineStr">
        <is>
          <t>Right</t>
        </is>
      </c>
      <c r="G86" s="7" t="n">
        <v>25</v>
      </c>
      <c r="H86" s="7" t="n">
        <v>10</v>
      </c>
      <c r="I86" s="7">
        <f>G86+H86</f>
        <v/>
      </c>
      <c r="J86" s="10">
        <f>IF(I86&gt;0,G86/I86*100,0)</f>
        <v/>
      </c>
    </row>
    <row r="87" ht="16" customHeight="1">
      <c r="A87" s="12" t="n">
        <v>85</v>
      </c>
      <c r="B87" s="13" t="inlineStr">
        <is>
          <t>Darren Till</t>
        </is>
      </c>
      <c r="C87" s="12" t="inlineStr">
        <is>
          <t>UK</t>
        </is>
      </c>
      <c r="D87" s="12" t="inlineStr">
        <is>
          <t>Europe</t>
        </is>
      </c>
      <c r="E87" s="12" t="inlineStr">
        <is>
          <t>Southpaw</t>
        </is>
      </c>
      <c r="F87" s="12" t="inlineStr">
        <is>
          <t>Right</t>
        </is>
      </c>
      <c r="G87" s="12" t="n">
        <v>18</v>
      </c>
      <c r="H87" s="12" t="n">
        <v>5</v>
      </c>
      <c r="I87" s="12">
        <f>G87+H87</f>
        <v/>
      </c>
      <c r="J87" s="14">
        <f>IF(I87&gt;0,G87/I87*100,0)</f>
        <v/>
      </c>
    </row>
    <row r="88" ht="16" customHeight="1">
      <c r="A88" s="7" t="n">
        <v>86</v>
      </c>
      <c r="B88" s="8" t="inlineStr">
        <is>
          <t>Paul Craig</t>
        </is>
      </c>
      <c r="C88" s="7" t="inlineStr">
        <is>
          <t>UK</t>
        </is>
      </c>
      <c r="D88" s="7" t="inlineStr">
        <is>
          <t>Europe</t>
        </is>
      </c>
      <c r="E88" s="11" t="inlineStr">
        <is>
          <t>Southpaw</t>
        </is>
      </c>
      <c r="F88" s="7" t="inlineStr">
        <is>
          <t>Left</t>
        </is>
      </c>
      <c r="G88" s="7" t="n">
        <v>16</v>
      </c>
      <c r="H88" s="7" t="n">
        <v>6</v>
      </c>
      <c r="I88" s="7">
        <f>G88+H88</f>
        <v/>
      </c>
      <c r="J88" s="10">
        <f>IF(I88&gt;0,G88/I88*100,0)</f>
        <v/>
      </c>
    </row>
    <row r="89" ht="16" customHeight="1">
      <c r="A89" s="3" t="n">
        <v>87</v>
      </c>
      <c r="B89" s="4" t="inlineStr">
        <is>
          <t>Terry Etim</t>
        </is>
      </c>
      <c r="C89" s="3" t="inlineStr">
        <is>
          <t>UK</t>
        </is>
      </c>
      <c r="D89" s="3" t="inlineStr">
        <is>
          <t>Europe</t>
        </is>
      </c>
      <c r="E89" s="5" t="inlineStr">
        <is>
          <t>Orthodox</t>
        </is>
      </c>
      <c r="F89" s="3" t="inlineStr">
        <is>
          <t>Right</t>
        </is>
      </c>
      <c r="G89" s="3" t="n">
        <v>15</v>
      </c>
      <c r="H89" s="3" t="n">
        <v>5</v>
      </c>
      <c r="I89" s="3">
        <f>G89+H89</f>
        <v/>
      </c>
      <c r="J89" s="6">
        <f>IF(I89&gt;0,G89/I89*100,0)</f>
        <v/>
      </c>
    </row>
    <row r="90" ht="16" customHeight="1">
      <c r="A90" s="7" t="n">
        <v>88</v>
      </c>
      <c r="B90" s="8" t="inlineStr">
        <is>
          <t>Alistair Overeem</t>
        </is>
      </c>
      <c r="C90" s="7" t="inlineStr">
        <is>
          <t>Netherlands</t>
        </is>
      </c>
      <c r="D90" s="7" t="inlineStr">
        <is>
          <t>Europe</t>
        </is>
      </c>
      <c r="E90" s="9" t="inlineStr">
        <is>
          <t>Orthodox</t>
        </is>
      </c>
      <c r="F90" s="7" t="inlineStr">
        <is>
          <t>Right</t>
        </is>
      </c>
      <c r="G90" s="7" t="n">
        <v>47</v>
      </c>
      <c r="H90" s="7" t="n">
        <v>19</v>
      </c>
      <c r="I90" s="7">
        <f>G90+H90</f>
        <v/>
      </c>
      <c r="J90" s="10">
        <f>IF(I90&gt;0,G90/I90*100,0)</f>
        <v/>
      </c>
    </row>
    <row r="91" ht="16" customHeight="1">
      <c r="A91" s="3" t="n">
        <v>89</v>
      </c>
      <c r="B91" s="4" t="inlineStr">
        <is>
          <t>Gegard Mousasi</t>
        </is>
      </c>
      <c r="C91" s="3" t="inlineStr">
        <is>
          <t>Netherlands</t>
        </is>
      </c>
      <c r="D91" s="3" t="inlineStr">
        <is>
          <t>Europe</t>
        </is>
      </c>
      <c r="E91" s="5" t="inlineStr">
        <is>
          <t>Orthodox</t>
        </is>
      </c>
      <c r="F91" s="3" t="inlineStr">
        <is>
          <t>Right</t>
        </is>
      </c>
      <c r="G91" s="3" t="n">
        <v>47</v>
      </c>
      <c r="H91" s="3" t="n">
        <v>10</v>
      </c>
      <c r="I91" s="3">
        <f>G91+H91</f>
        <v/>
      </c>
      <c r="J91" s="6">
        <f>IF(I91&gt;0,G91/I91*100,0)</f>
        <v/>
      </c>
    </row>
    <row r="92" ht="16" customHeight="1">
      <c r="A92" s="7" t="n">
        <v>90</v>
      </c>
      <c r="B92" s="8" t="inlineStr">
        <is>
          <t>Bas Rutten</t>
        </is>
      </c>
      <c r="C92" s="7" t="inlineStr">
        <is>
          <t>Netherlands</t>
        </is>
      </c>
      <c r="D92" s="7" t="inlineStr">
        <is>
          <t>Europe</t>
        </is>
      </c>
      <c r="E92" s="11" t="inlineStr">
        <is>
          <t>Southpaw</t>
        </is>
      </c>
      <c r="F92" s="7" t="inlineStr">
        <is>
          <t>Left</t>
        </is>
      </c>
      <c r="G92" s="7" t="n">
        <v>28</v>
      </c>
      <c r="H92" s="7" t="n">
        <v>4</v>
      </c>
      <c r="I92" s="7">
        <f>G92+H92</f>
        <v/>
      </c>
      <c r="J92" s="10">
        <f>IF(I92&gt;0,G92/I92*100,0)</f>
        <v/>
      </c>
    </row>
    <row r="93" ht="16" customHeight="1">
      <c r="A93" s="3" t="n">
        <v>91</v>
      </c>
      <c r="B93" s="4" t="inlineStr">
        <is>
          <t>Stefan Struve</t>
        </is>
      </c>
      <c r="C93" s="3" t="inlineStr">
        <is>
          <t>Netherlands</t>
        </is>
      </c>
      <c r="D93" s="3" t="inlineStr">
        <is>
          <t>Europe</t>
        </is>
      </c>
      <c r="E93" s="5" t="inlineStr">
        <is>
          <t>Orthodox</t>
        </is>
      </c>
      <c r="F93" s="3" t="inlineStr">
        <is>
          <t>Right</t>
        </is>
      </c>
      <c r="G93" s="3" t="n">
        <v>28</v>
      </c>
      <c r="H93" s="3" t="n">
        <v>13</v>
      </c>
      <c r="I93" s="3">
        <f>G93+H93</f>
        <v/>
      </c>
      <c r="J93" s="6">
        <f>IF(I93&gt;0,G93/I93*100,0)</f>
        <v/>
      </c>
    </row>
    <row r="94" ht="16" customHeight="1">
      <c r="A94" s="7" t="n">
        <v>92</v>
      </c>
      <c r="B94" s="8" t="inlineStr">
        <is>
          <t>Melvin Manhoef</t>
        </is>
      </c>
      <c r="C94" s="7" t="inlineStr">
        <is>
          <t>Netherlands</t>
        </is>
      </c>
      <c r="D94" s="7" t="inlineStr">
        <is>
          <t>Europe</t>
        </is>
      </c>
      <c r="E94" s="9" t="inlineStr">
        <is>
          <t>Orthodox</t>
        </is>
      </c>
      <c r="F94" s="7" t="inlineStr">
        <is>
          <t>Right</t>
        </is>
      </c>
      <c r="G94" s="7" t="n">
        <v>31</v>
      </c>
      <c r="H94" s="7" t="n">
        <v>14</v>
      </c>
      <c r="I94" s="7">
        <f>G94+H94</f>
        <v/>
      </c>
      <c r="J94" s="10">
        <f>IF(I94&gt;0,G94/I94*100,0)</f>
        <v/>
      </c>
    </row>
    <row r="95" ht="16" customHeight="1">
      <c r="A95" s="12" t="n">
        <v>93</v>
      </c>
      <c r="B95" s="13" t="inlineStr">
        <is>
          <t>Martin Kampmann</t>
        </is>
      </c>
      <c r="C95" s="12" t="inlineStr">
        <is>
          <t>Denmark</t>
        </is>
      </c>
      <c r="D95" s="12" t="inlineStr">
        <is>
          <t>Europe</t>
        </is>
      </c>
      <c r="E95" s="12" t="inlineStr">
        <is>
          <t>Southpaw</t>
        </is>
      </c>
      <c r="F95" s="12" t="inlineStr">
        <is>
          <t>Right</t>
        </is>
      </c>
      <c r="G95" s="12" t="n">
        <v>20</v>
      </c>
      <c r="H95" s="12" t="n">
        <v>8</v>
      </c>
      <c r="I95" s="12">
        <f>G95+H95</f>
        <v/>
      </c>
      <c r="J95" s="14">
        <f>IF(I95&gt;0,G95/I95*100,0)</f>
        <v/>
      </c>
    </row>
    <row r="96" ht="16" customHeight="1">
      <c r="A96" s="12" t="n">
        <v>94</v>
      </c>
      <c r="B96" s="13" t="inlineStr">
        <is>
          <t>Dennis Siver</t>
        </is>
      </c>
      <c r="C96" s="12" t="inlineStr">
        <is>
          <t>Germany</t>
        </is>
      </c>
      <c r="D96" s="12" t="inlineStr">
        <is>
          <t>Europe</t>
        </is>
      </c>
      <c r="E96" s="12" t="inlineStr">
        <is>
          <t>Southpaw</t>
        </is>
      </c>
      <c r="F96" s="12" t="inlineStr">
        <is>
          <t>Right</t>
        </is>
      </c>
      <c r="G96" s="12" t="n">
        <v>22</v>
      </c>
      <c r="H96" s="12" t="n">
        <v>13</v>
      </c>
      <c r="I96" s="12">
        <f>G96+H96</f>
        <v/>
      </c>
      <c r="J96" s="14">
        <f>IF(I96&gt;0,G96/I96*100,0)</f>
        <v/>
      </c>
    </row>
    <row r="97" ht="16" customHeight="1">
      <c r="A97" s="12" t="n">
        <v>95</v>
      </c>
      <c r="B97" s="13" t="inlineStr">
        <is>
          <t>Israel Adesanya</t>
        </is>
      </c>
      <c r="C97" s="12" t="inlineStr">
        <is>
          <t>Nigeria</t>
        </is>
      </c>
      <c r="D97" s="12" t="inlineStr">
        <is>
          <t>Africa</t>
        </is>
      </c>
      <c r="E97" s="12" t="inlineStr">
        <is>
          <t>Southpaw</t>
        </is>
      </c>
      <c r="F97" s="12" t="inlineStr">
        <is>
          <t>Right</t>
        </is>
      </c>
      <c r="G97" s="12" t="n">
        <v>24</v>
      </c>
      <c r="H97" s="12" t="n">
        <v>3</v>
      </c>
      <c r="I97" s="12">
        <f>G97+H97</f>
        <v/>
      </c>
      <c r="J97" s="14">
        <f>IF(I97&gt;0,G97/I97*100,0)</f>
        <v/>
      </c>
    </row>
    <row r="98" ht="16" customHeight="1">
      <c r="A98" s="7" t="n">
        <v>96</v>
      </c>
      <c r="B98" s="8" t="inlineStr">
        <is>
          <t>Francis Ngannou</t>
        </is>
      </c>
      <c r="C98" s="7" t="inlineStr">
        <is>
          <t>Cameroon</t>
        </is>
      </c>
      <c r="D98" s="7" t="inlineStr">
        <is>
          <t>Africa</t>
        </is>
      </c>
      <c r="E98" s="9" t="inlineStr">
        <is>
          <t>Orthodox</t>
        </is>
      </c>
      <c r="F98" s="7" t="inlineStr">
        <is>
          <t>Right</t>
        </is>
      </c>
      <c r="G98" s="7" t="n">
        <v>17</v>
      </c>
      <c r="H98" s="7" t="n">
        <v>3</v>
      </c>
      <c r="I98" s="7">
        <f>G98+H98</f>
        <v/>
      </c>
      <c r="J98" s="10">
        <f>IF(I98&gt;0,G98/I98*100,0)</f>
        <v/>
      </c>
    </row>
    <row r="99" ht="16" customHeight="1">
      <c r="A99" s="3" t="n">
        <v>97</v>
      </c>
      <c r="B99" s="4" t="inlineStr">
        <is>
          <t>Ciryl Gane</t>
        </is>
      </c>
      <c r="C99" s="3" t="inlineStr">
        <is>
          <t>France</t>
        </is>
      </c>
      <c r="D99" s="3" t="inlineStr">
        <is>
          <t>Europe</t>
        </is>
      </c>
      <c r="E99" s="5" t="inlineStr">
        <is>
          <t>Orthodox</t>
        </is>
      </c>
      <c r="F99" s="3" t="inlineStr">
        <is>
          <t>Right</t>
        </is>
      </c>
      <c r="G99" s="3" t="n">
        <v>11</v>
      </c>
      <c r="H99" s="3" t="n">
        <v>2</v>
      </c>
      <c r="I99" s="3">
        <f>G99+H99</f>
        <v/>
      </c>
      <c r="J99" s="6">
        <f>IF(I99&gt;0,G99/I99*100,0)</f>
        <v/>
      </c>
    </row>
    <row r="100" ht="16" customHeight="1">
      <c r="A100" s="7" t="n">
        <v>98</v>
      </c>
      <c r="B100" s="8" t="inlineStr">
        <is>
          <t>Benoit Saint Denis</t>
        </is>
      </c>
      <c r="C100" s="7" t="inlineStr">
        <is>
          <t>France</t>
        </is>
      </c>
      <c r="D100" s="7" t="inlineStr">
        <is>
          <t>Europe</t>
        </is>
      </c>
      <c r="E100" s="9" t="inlineStr">
        <is>
          <t>Orthodox</t>
        </is>
      </c>
      <c r="F100" s="7" t="inlineStr">
        <is>
          <t>Right</t>
        </is>
      </c>
      <c r="G100" s="7" t="n">
        <v>13</v>
      </c>
      <c r="H100" s="7" t="n">
        <v>3</v>
      </c>
      <c r="I100" s="7">
        <f>G100+H100</f>
        <v/>
      </c>
      <c r="J100" s="10">
        <f>IF(I100&gt;0,G100/I100*100,0)</f>
        <v/>
      </c>
    </row>
    <row r="101" ht="16" customHeight="1">
      <c r="A101" s="12" t="n">
        <v>99</v>
      </c>
      <c r="B101" s="13" t="inlineStr">
        <is>
          <t>Nassourdine Imavov</t>
        </is>
      </c>
      <c r="C101" s="12" t="inlineStr">
        <is>
          <t>France</t>
        </is>
      </c>
      <c r="D101" s="12" t="inlineStr">
        <is>
          <t>Europe</t>
        </is>
      </c>
      <c r="E101" s="12" t="inlineStr">
        <is>
          <t>Southpaw</t>
        </is>
      </c>
      <c r="F101" s="12" t="inlineStr">
        <is>
          <t>Right</t>
        </is>
      </c>
      <c r="G101" s="12" t="n">
        <v>14</v>
      </c>
      <c r="H101" s="12" t="n">
        <v>4</v>
      </c>
      <c r="I101" s="12">
        <f>G101+H101</f>
        <v/>
      </c>
      <c r="J101" s="14">
        <f>IF(I101&gt;0,G101/I101*100,0)</f>
        <v/>
      </c>
    </row>
    <row r="102" ht="16" customHeight="1">
      <c r="A102" s="7" t="n">
        <v>100</v>
      </c>
      <c r="B102" s="8" t="inlineStr">
        <is>
          <t>Ilia Topuria</t>
        </is>
      </c>
      <c r="C102" s="7" t="inlineStr">
        <is>
          <t>Georgia</t>
        </is>
      </c>
      <c r="D102" s="7" t="inlineStr">
        <is>
          <t>Europe</t>
        </is>
      </c>
      <c r="E102" s="9" t="inlineStr">
        <is>
          <t>Orthodox</t>
        </is>
      </c>
      <c r="F102" s="7" t="inlineStr">
        <is>
          <t>Right</t>
        </is>
      </c>
      <c r="G102" s="7" t="n">
        <v>15</v>
      </c>
      <c r="H102" s="7" t="n">
        <v>0</v>
      </c>
      <c r="I102" s="7">
        <f>G102+H102</f>
        <v/>
      </c>
      <c r="J102" s="10">
        <f>IF(I102&gt;0,G102/I102*100,0)</f>
        <v/>
      </c>
    </row>
    <row r="103" ht="16" customHeight="1">
      <c r="A103" s="3" t="n">
        <v>101</v>
      </c>
      <c r="B103" s="4" t="inlineStr">
        <is>
          <t>Merab Dvalishvili</t>
        </is>
      </c>
      <c r="C103" s="3" t="inlineStr">
        <is>
          <t>Georgia</t>
        </is>
      </c>
      <c r="D103" s="3" t="inlineStr">
        <is>
          <t>Europe</t>
        </is>
      </c>
      <c r="E103" s="5" t="inlineStr">
        <is>
          <t>Orthodox</t>
        </is>
      </c>
      <c r="F103" s="3" t="inlineStr">
        <is>
          <t>Right</t>
        </is>
      </c>
      <c r="G103" s="3" t="n">
        <v>16</v>
      </c>
      <c r="H103" s="3" t="n">
        <v>4</v>
      </c>
      <c r="I103" s="3">
        <f>G103+H103</f>
        <v/>
      </c>
      <c r="J103" s="6">
        <f>IF(I103&gt;0,G103/I103*100,0)</f>
        <v/>
      </c>
    </row>
    <row r="104" ht="16" customHeight="1">
      <c r="A104" s="7" t="n">
        <v>102</v>
      </c>
      <c r="B104" s="8" t="inlineStr">
        <is>
          <t>Alexander Volkanovski</t>
        </is>
      </c>
      <c r="C104" s="7" t="inlineStr">
        <is>
          <t>Australia</t>
        </is>
      </c>
      <c r="D104" s="7" t="inlineStr">
        <is>
          <t>Oceania</t>
        </is>
      </c>
      <c r="E104" s="9" t="inlineStr">
        <is>
          <t>Orthodox</t>
        </is>
      </c>
      <c r="F104" s="7" t="inlineStr">
        <is>
          <t>Right</t>
        </is>
      </c>
      <c r="G104" s="7" t="n">
        <v>26</v>
      </c>
      <c r="H104" s="7" t="n">
        <v>3</v>
      </c>
      <c r="I104" s="7">
        <f>G104+H104</f>
        <v/>
      </c>
      <c r="J104" s="10">
        <f>IF(I104&gt;0,G104/I104*100,0)</f>
        <v/>
      </c>
    </row>
    <row r="105" ht="16" customHeight="1">
      <c r="A105" s="3" t="n">
        <v>103</v>
      </c>
      <c r="B105" s="4" t="inlineStr">
        <is>
          <t>Robert Whittaker</t>
        </is>
      </c>
      <c r="C105" s="3" t="inlineStr">
        <is>
          <t>Australia</t>
        </is>
      </c>
      <c r="D105" s="3" t="inlineStr">
        <is>
          <t>Oceania</t>
        </is>
      </c>
      <c r="E105" s="5" t="inlineStr">
        <is>
          <t>Orthodox</t>
        </is>
      </c>
      <c r="F105" s="3" t="inlineStr">
        <is>
          <t>Right</t>
        </is>
      </c>
      <c r="G105" s="3" t="n">
        <v>24</v>
      </c>
      <c r="H105" s="3" t="n">
        <v>6</v>
      </c>
      <c r="I105" s="3">
        <f>G105+H105</f>
        <v/>
      </c>
      <c r="J105" s="6">
        <f>IF(I105&gt;0,G105/I105*100,0)</f>
        <v/>
      </c>
    </row>
    <row r="106" ht="16" customHeight="1">
      <c r="A106" s="7" t="n">
        <v>104</v>
      </c>
      <c r="B106" s="8" t="inlineStr">
        <is>
          <t>Mark Hunt</t>
        </is>
      </c>
      <c r="C106" s="7" t="inlineStr">
        <is>
          <t>New Zealand</t>
        </is>
      </c>
      <c r="D106" s="7" t="inlineStr">
        <is>
          <t>Oceania</t>
        </is>
      </c>
      <c r="E106" s="9" t="inlineStr">
        <is>
          <t>Orthodox</t>
        </is>
      </c>
      <c r="F106" s="7" t="inlineStr">
        <is>
          <t>Right</t>
        </is>
      </c>
      <c r="G106" s="7" t="n">
        <v>13</v>
      </c>
      <c r="H106" s="7" t="n">
        <v>14</v>
      </c>
      <c r="I106" s="7">
        <f>G106+H106</f>
        <v/>
      </c>
      <c r="J106" s="10">
        <f>IF(I106&gt;0,G106/I106*100,0)</f>
        <v/>
      </c>
    </row>
    <row r="107" ht="16" customHeight="1">
      <c r="A107" s="3" t="n">
        <v>105</v>
      </c>
      <c r="B107" s="4" t="inlineStr">
        <is>
          <t>Tai Tuivasa</t>
        </is>
      </c>
      <c r="C107" s="3" t="inlineStr">
        <is>
          <t>Australia</t>
        </is>
      </c>
      <c r="D107" s="3" t="inlineStr">
        <is>
          <t>Oceania</t>
        </is>
      </c>
      <c r="E107" s="5" t="inlineStr">
        <is>
          <t>Orthodox</t>
        </is>
      </c>
      <c r="F107" s="3" t="inlineStr">
        <is>
          <t>Right</t>
        </is>
      </c>
      <c r="G107" s="3" t="n">
        <v>15</v>
      </c>
      <c r="H107" s="3" t="n">
        <v>5</v>
      </c>
      <c r="I107" s="3">
        <f>G107+H107</f>
        <v/>
      </c>
      <c r="J107" s="6">
        <f>IF(I107&gt;0,G107/I107*100,0)</f>
        <v/>
      </c>
    </row>
    <row r="108" ht="16" customHeight="1">
      <c r="A108" s="7" t="n">
        <v>106</v>
      </c>
      <c r="B108" s="8" t="inlineStr">
        <is>
          <t>Georges St-Pierre</t>
        </is>
      </c>
      <c r="C108" s="7" t="inlineStr">
        <is>
          <t>Canada</t>
        </is>
      </c>
      <c r="D108" s="7" t="inlineStr">
        <is>
          <t>North America</t>
        </is>
      </c>
      <c r="E108" s="9" t="inlineStr">
        <is>
          <t>Orthodox</t>
        </is>
      </c>
      <c r="F108" s="7" t="inlineStr">
        <is>
          <t>Right</t>
        </is>
      </c>
      <c r="G108" s="7" t="n">
        <v>26</v>
      </c>
      <c r="H108" s="7" t="n">
        <v>2</v>
      </c>
      <c r="I108" s="7">
        <f>G108+H108</f>
        <v/>
      </c>
      <c r="J108" s="10">
        <f>IF(I108&gt;0,G108/I108*100,0)</f>
        <v/>
      </c>
    </row>
    <row r="109" ht="16" customHeight="1">
      <c r="A109" s="3" t="n">
        <v>107</v>
      </c>
      <c r="B109" s="4" t="inlineStr">
        <is>
          <t>Rory MacDonald</t>
        </is>
      </c>
      <c r="C109" s="3" t="inlineStr">
        <is>
          <t>Canada</t>
        </is>
      </c>
      <c r="D109" s="3" t="inlineStr">
        <is>
          <t>North America</t>
        </is>
      </c>
      <c r="E109" s="5" t="inlineStr">
        <is>
          <t>Orthodox</t>
        </is>
      </c>
      <c r="F109" s="3" t="inlineStr">
        <is>
          <t>Right</t>
        </is>
      </c>
      <c r="G109" s="3" t="n">
        <v>22</v>
      </c>
      <c r="H109" s="3" t="n">
        <v>6</v>
      </c>
      <c r="I109" s="3">
        <f>G109+H109</f>
        <v/>
      </c>
      <c r="J109" s="6">
        <f>IF(I109&gt;0,G109/I109*100,0)</f>
        <v/>
      </c>
    </row>
    <row r="110" ht="16" customHeight="1">
      <c r="A110" s="7" t="n">
        <v>108</v>
      </c>
      <c r="B110" s="8" t="inlineStr">
        <is>
          <t>Zhang Weili</t>
        </is>
      </c>
      <c r="C110" s="7" t="inlineStr">
        <is>
          <t>China</t>
        </is>
      </c>
      <c r="D110" s="7" t="inlineStr">
        <is>
          <t>Asia</t>
        </is>
      </c>
      <c r="E110" s="9" t="inlineStr">
        <is>
          <t>Orthodox</t>
        </is>
      </c>
      <c r="F110" s="7" t="inlineStr">
        <is>
          <t>Right</t>
        </is>
      </c>
      <c r="G110" s="7" t="n">
        <v>23</v>
      </c>
      <c r="H110" s="7" t="n">
        <v>3</v>
      </c>
      <c r="I110" s="7">
        <f>G110+H110</f>
        <v/>
      </c>
      <c r="J110" s="10">
        <f>IF(I110&gt;0,G110/I110*100,0)</f>
        <v/>
      </c>
    </row>
    <row r="111" ht="16" customHeight="1">
      <c r="A111" s="3" t="n">
        <v>109</v>
      </c>
      <c r="B111" s="4" t="inlineStr">
        <is>
          <t>Yan Xiaonan</t>
        </is>
      </c>
      <c r="C111" s="3" t="inlineStr">
        <is>
          <t>China</t>
        </is>
      </c>
      <c r="D111" s="3" t="inlineStr">
        <is>
          <t>Asia</t>
        </is>
      </c>
      <c r="E111" s="15" t="inlineStr">
        <is>
          <t>Southpaw</t>
        </is>
      </c>
      <c r="F111" s="3" t="inlineStr">
        <is>
          <t>Left</t>
        </is>
      </c>
      <c r="G111" s="3" t="n">
        <v>18</v>
      </c>
      <c r="H111" s="3" t="n">
        <v>3</v>
      </c>
      <c r="I111" s="3">
        <f>G111+H111</f>
        <v/>
      </c>
      <c r="J111" s="6">
        <f>IF(I111&gt;0,G111/I111*100,0)</f>
        <v/>
      </c>
    </row>
    <row r="112" ht="16" customHeight="1">
      <c r="A112" s="7" t="n">
        <v>110</v>
      </c>
      <c r="B112" s="8" t="inlineStr">
        <is>
          <t>Chan Sung Jung</t>
        </is>
      </c>
      <c r="C112" s="7" t="inlineStr">
        <is>
          <t>South Korea</t>
        </is>
      </c>
      <c r="D112" s="7" t="inlineStr">
        <is>
          <t>Asia</t>
        </is>
      </c>
      <c r="E112" s="9" t="inlineStr">
        <is>
          <t>Orthodox</t>
        </is>
      </c>
      <c r="F112" s="7" t="inlineStr">
        <is>
          <t>Right</t>
        </is>
      </c>
      <c r="G112" s="7" t="n">
        <v>17</v>
      </c>
      <c r="H112" s="7" t="n">
        <v>7</v>
      </c>
      <c r="I112" s="7">
        <f>G112+H112</f>
        <v/>
      </c>
      <c r="J112" s="10">
        <f>IF(I112&gt;0,G112/I112*100,0)</f>
        <v/>
      </c>
    </row>
    <row r="113" ht="16" customHeight="1">
      <c r="A113" s="3" t="n">
        <v>111</v>
      </c>
      <c r="B113" s="4" t="inlineStr">
        <is>
          <t>Yushin Okami</t>
        </is>
      </c>
      <c r="C113" s="3" t="inlineStr">
        <is>
          <t>Japan</t>
        </is>
      </c>
      <c r="D113" s="3" t="inlineStr">
        <is>
          <t>Asia</t>
        </is>
      </c>
      <c r="E113" s="5" t="inlineStr">
        <is>
          <t>Orthodox</t>
        </is>
      </c>
      <c r="F113" s="3" t="inlineStr">
        <is>
          <t>Right</t>
        </is>
      </c>
      <c r="G113" s="3" t="n">
        <v>30</v>
      </c>
      <c r="H113" s="3" t="n">
        <v>11</v>
      </c>
      <c r="I113" s="3">
        <f>G113+H113</f>
        <v/>
      </c>
      <c r="J113" s="6">
        <f>IF(I113&gt;0,G113/I113*100,0)</f>
        <v/>
      </c>
    </row>
    <row r="114" ht="16" customHeight="1">
      <c r="A114" s="7" t="n">
        <v>112</v>
      </c>
      <c r="B114" s="8" t="inlineStr">
        <is>
          <t>Takanori Gomi</t>
        </is>
      </c>
      <c r="C114" s="7" t="inlineStr">
        <is>
          <t>Japan</t>
        </is>
      </c>
      <c r="D114" s="7" t="inlineStr">
        <is>
          <t>Asia</t>
        </is>
      </c>
      <c r="E114" s="11" t="inlineStr">
        <is>
          <t>Southpaw</t>
        </is>
      </c>
      <c r="F114" s="7" t="inlineStr">
        <is>
          <t>Left</t>
        </is>
      </c>
      <c r="G114" s="7" t="n">
        <v>37</v>
      </c>
      <c r="H114" s="7" t="n">
        <v>12</v>
      </c>
      <c r="I114" s="7">
        <f>G114+H114</f>
        <v/>
      </c>
      <c r="J114" s="10">
        <f>IF(I114&gt;0,G114/I114*100,0)</f>
        <v/>
      </c>
    </row>
    <row r="115" ht="16" customHeight="1">
      <c r="A115" s="3" t="n">
        <v>113</v>
      </c>
      <c r="B115" s="4" t="inlineStr">
        <is>
          <t>Tatsuya Kawajiri</t>
        </is>
      </c>
      <c r="C115" s="3" t="inlineStr">
        <is>
          <t>Japan</t>
        </is>
      </c>
      <c r="D115" s="3" t="inlineStr">
        <is>
          <t>Asia</t>
        </is>
      </c>
      <c r="E115" s="5" t="inlineStr">
        <is>
          <t>Orthodox</t>
        </is>
      </c>
      <c r="F115" s="3" t="inlineStr">
        <is>
          <t>Right</t>
        </is>
      </c>
      <c r="G115" s="3" t="n">
        <v>27</v>
      </c>
      <c r="H115" s="3" t="n">
        <v>10</v>
      </c>
      <c r="I115" s="3">
        <f>G115+H115</f>
        <v/>
      </c>
      <c r="J115" s="6">
        <f>IF(I115&gt;0,G115/I115*100,0)</f>
        <v/>
      </c>
    </row>
    <row r="116" ht="16" customHeight="1">
      <c r="A116" s="7" t="n">
        <v>114</v>
      </c>
      <c r="B116" s="8" t="inlineStr">
        <is>
          <t>Dong Hyun Kim</t>
        </is>
      </c>
      <c r="C116" s="7" t="inlineStr">
        <is>
          <t>South Korea</t>
        </is>
      </c>
      <c r="D116" s="7" t="inlineStr">
        <is>
          <t>Asia</t>
        </is>
      </c>
      <c r="E116" s="9" t="inlineStr">
        <is>
          <t>Orthodox</t>
        </is>
      </c>
      <c r="F116" s="7" t="inlineStr">
        <is>
          <t>Right</t>
        </is>
      </c>
      <c r="G116" s="7" t="n">
        <v>21</v>
      </c>
      <c r="H116" s="7" t="n">
        <v>4</v>
      </c>
      <c r="I116" s="7">
        <f>G116+H116</f>
        <v/>
      </c>
      <c r="J116" s="10">
        <f>IF(I116&gt;0,G116/I116*100,0)</f>
        <v/>
      </c>
    </row>
    <row r="117" ht="16" customHeight="1">
      <c r="A117" s="3" t="n">
        <v>115</v>
      </c>
      <c r="B117" s="4" t="inlineStr">
        <is>
          <t>Valentina Shevchenko</t>
        </is>
      </c>
      <c r="C117" s="3" t="inlineStr">
        <is>
          <t>Kyrgyzstan</t>
        </is>
      </c>
      <c r="D117" s="3" t="inlineStr">
        <is>
          <t>Asia</t>
        </is>
      </c>
      <c r="E117" s="5" t="inlineStr">
        <is>
          <t>Orthodox</t>
        </is>
      </c>
      <c r="F117" s="3" t="inlineStr">
        <is>
          <t>Right</t>
        </is>
      </c>
      <c r="G117" s="3" t="n">
        <v>23</v>
      </c>
      <c r="H117" s="3" t="n">
        <v>4</v>
      </c>
      <c r="I117" s="3">
        <f>G117+H117</f>
        <v/>
      </c>
      <c r="J117" s="6">
        <f>IF(I117&gt;0,G117/I117*100,0)</f>
        <v/>
      </c>
    </row>
    <row r="118" ht="16" customHeight="1">
      <c r="A118" s="7" t="n">
        <v>116</v>
      </c>
      <c r="B118" s="8" t="inlineStr">
        <is>
          <t>Leon Edwards</t>
        </is>
      </c>
      <c r="C118" s="7" t="inlineStr">
        <is>
          <t>Jamaica</t>
        </is>
      </c>
      <c r="D118" s="7" t="inlineStr">
        <is>
          <t>North America</t>
        </is>
      </c>
      <c r="E118" s="9" t="inlineStr">
        <is>
          <t>Orthodox</t>
        </is>
      </c>
      <c r="F118" s="7" t="inlineStr">
        <is>
          <t>Right</t>
        </is>
      </c>
      <c r="G118" s="7" t="n">
        <v>21</v>
      </c>
      <c r="H118" s="7" t="n">
        <v>3</v>
      </c>
      <c r="I118" s="7">
        <f>G118+H118</f>
        <v/>
      </c>
      <c r="J118" s="10">
        <f>IF(I118&gt;0,G118/I118*100,0)</f>
        <v/>
      </c>
    </row>
    <row r="119" ht="16" customHeight="1">
      <c r="A119" s="3" t="n">
        <v>117</v>
      </c>
      <c r="B119" s="4" t="inlineStr">
        <is>
          <t>Tarec Saffiedine</t>
        </is>
      </c>
      <c r="C119" s="3" t="inlineStr">
        <is>
          <t>Belgium</t>
        </is>
      </c>
      <c r="D119" s="3" t="inlineStr">
        <is>
          <t>Europe</t>
        </is>
      </c>
      <c r="E119" s="5" t="inlineStr">
        <is>
          <t>Orthodox</t>
        </is>
      </c>
      <c r="F119" s="3" t="inlineStr">
        <is>
          <t>Right</t>
        </is>
      </c>
      <c r="G119" s="3" t="n">
        <v>17</v>
      </c>
      <c r="H119" s="3" t="n">
        <v>8</v>
      </c>
      <c r="I119" s="3">
        <f>G119+H119</f>
        <v/>
      </c>
      <c r="J119" s="6">
        <f>IF(I119&gt;0,G119/I119*100,0)</f>
        <v/>
      </c>
    </row>
  </sheetData>
  <mergeCells count="1">
    <mergeCell ref="A1:J1"/>
  </mergeCells>
  <conditionalFormatting sqref="J3:J119">
    <cfRule type="colorScale" priority="1">
      <colorScale>
        <cfvo type="min"/>
        <cfvo type="percentile" val="50"/>
        <cfvo type="max"/>
        <color rgb="008B0000"/>
        <color rgb="00FFD700"/>
        <color rgb="000064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3" customWidth="1" min="4" max="4"/>
    <col width="14" customWidth="1" min="5" max="5"/>
    <col width="12" customWidth="1" min="6" max="6"/>
  </cols>
  <sheetData>
    <row r="1" ht="30" customHeight="1">
      <c r="A1" s="16" t="inlineStr">
        <is>
          <t>📊  STANCE ANALYSIS — SUMMARY STATISTICS</t>
        </is>
      </c>
    </row>
    <row r="3" ht="20" customHeight="1">
      <c r="A3" s="17" t="inlineStr">
        <is>
          <t>GROUP PERFORMANCE COMPARISON</t>
        </is>
      </c>
    </row>
    <row r="4" ht="18" customHeight="1">
      <c r="A4" s="18" t="inlineStr">
        <is>
          <t>Group</t>
        </is>
      </c>
      <c r="B4" s="18" t="inlineStr">
        <is>
          <t>N</t>
        </is>
      </c>
      <c r="C4" s="18" t="inlineStr">
        <is>
          <t>% of Dataset</t>
        </is>
      </c>
      <c r="D4" s="18" t="inlineStr">
        <is>
          <t>Mean Win%</t>
        </is>
      </c>
      <c r="E4" s="18" t="inlineStr">
        <is>
          <t>Median Win%</t>
        </is>
      </c>
      <c r="F4" s="18" t="inlineStr">
        <is>
          <t>Std Dev</t>
        </is>
      </c>
    </row>
    <row r="5" ht="17" customHeight="1">
      <c r="A5" s="4" t="inlineStr">
        <is>
          <t>Orthodox + Right-handed</t>
        </is>
      </c>
      <c r="B5" s="19" t="n">
        <v>89</v>
      </c>
      <c r="C5" s="20" t="n">
        <v>0.7606837606837606</v>
      </c>
      <c r="D5" s="6" t="n">
        <v>78.20476024276782</v>
      </c>
      <c r="E5" s="6" t="n">
        <v>76.92307692307693</v>
      </c>
      <c r="F5" s="6" t="n">
        <v>9.695258752738319</v>
      </c>
    </row>
    <row r="6" ht="17" customHeight="1">
      <c r="A6" s="8" t="inlineStr">
        <is>
          <t>Orthodox + Left-handed</t>
        </is>
      </c>
      <c r="B6" s="21" t="n">
        <v>0</v>
      </c>
      <c r="C6" s="22" t="n">
        <v>0</v>
      </c>
      <c r="D6" s="10" t="n">
        <v>0</v>
      </c>
      <c r="E6" s="10" t="n">
        <v>0</v>
      </c>
      <c r="F6" s="10" t="n">
        <v>0</v>
      </c>
    </row>
    <row r="7" ht="17" customHeight="1">
      <c r="A7" s="4" t="inlineStr">
        <is>
          <t>Southpaw + Left-handed</t>
        </is>
      </c>
      <c r="B7" s="19" t="n">
        <v>15</v>
      </c>
      <c r="C7" s="20" t="n">
        <v>0.1282051282051282</v>
      </c>
      <c r="D7" s="6" t="n">
        <v>77.12790761544198</v>
      </c>
      <c r="E7" s="6" t="n">
        <v>74.50980392156863</v>
      </c>
      <c r="F7" s="6" t="n">
        <v>10.89374681358583</v>
      </c>
    </row>
    <row r="8" ht="17" customHeight="1">
      <c r="A8" s="13" t="inlineStr">
        <is>
          <t>Southpaw + Right-handed ★</t>
        </is>
      </c>
      <c r="B8" s="23" t="n">
        <v>13</v>
      </c>
      <c r="C8" s="24" t="n">
        <v>0.1111111111111111</v>
      </c>
      <c r="D8" s="14" t="n">
        <v>77.92164951995967</v>
      </c>
      <c r="E8" s="14" t="n">
        <v>78.37837837837837</v>
      </c>
      <c r="F8" s="14" t="n">
        <v>8.337804381834768</v>
      </c>
    </row>
    <row r="10" ht="20" customHeight="1">
      <c r="A10" s="17" t="inlineStr">
        <is>
          <t>ORTHODOX vs SOUTHPAW — OVERALL</t>
        </is>
      </c>
    </row>
    <row r="11" ht="18" customHeight="1">
      <c r="A11" s="18" t="inlineStr">
        <is>
          <t>Stance</t>
        </is>
      </c>
      <c r="B11" s="18" t="inlineStr">
        <is>
          <t>Fighters</t>
        </is>
      </c>
      <c r="C11" s="18" t="inlineStr">
        <is>
          <t>% Share</t>
        </is>
      </c>
      <c r="D11" s="18" t="inlineStr">
        <is>
          <t>Mean Win%</t>
        </is>
      </c>
      <c r="E11" s="18" t="inlineStr">
        <is>
          <t>Median Win%</t>
        </is>
      </c>
      <c r="F11" s="18" t="inlineStr">
        <is>
          <t>Std Dev</t>
        </is>
      </c>
    </row>
    <row r="12" ht="17" customHeight="1">
      <c r="A12" s="25" t="inlineStr">
        <is>
          <t>Orthodox</t>
        </is>
      </c>
      <c r="B12" s="26" t="n">
        <v>89</v>
      </c>
      <c r="C12" s="27" t="n">
        <v>0.7606837606837606</v>
      </c>
      <c r="D12" s="28" t="n">
        <v>78.20476024276782</v>
      </c>
      <c r="E12" s="28" t="n">
        <v>76.92307692307693</v>
      </c>
      <c r="F12" s="28" t="n">
        <v>9.695258752738319</v>
      </c>
    </row>
    <row r="13" ht="17" customHeight="1">
      <c r="A13" s="29" t="inlineStr">
        <is>
          <t>Southpaw</t>
        </is>
      </c>
      <c r="B13" s="30" t="n">
        <v>28</v>
      </c>
      <c r="C13" s="31" t="n">
        <v>0.2393162393162393</v>
      </c>
      <c r="D13" s="32" t="n">
        <v>77.49643064253948</v>
      </c>
      <c r="E13" s="32" t="n">
        <v>78.01932367149759</v>
      </c>
      <c r="F13" s="32" t="n">
        <v>9.622595977595267</v>
      </c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3" customWidth="1" min="4" max="4"/>
    <col width="13" customWidth="1" min="5" max="5"/>
    <col width="14" customWidth="1" min="7" max="7"/>
    <col width="14" customWidth="1" min="8" max="8"/>
    <col width="14" customWidth="1" min="9" max="9"/>
  </cols>
  <sheetData>
    <row r="1" ht="30" customHeight="1">
      <c r="A1" s="16" t="inlineStr">
        <is>
          <t>🌍  COUNTRY &amp; CONTINENT BREAKDOWN</t>
        </is>
      </c>
      <c r="G1" s="33" t="inlineStr">
        <is>
          <t>CONTINENT SUMMARY</t>
        </is>
      </c>
    </row>
    <row r="3" ht="18" customHeight="1">
      <c r="A3" s="18" t="inlineStr">
        <is>
          <t>Country</t>
        </is>
      </c>
      <c r="B3" s="18" t="inlineStr">
        <is>
          <t>Continent</t>
        </is>
      </c>
      <c r="C3" s="18" t="inlineStr">
        <is>
          <t>Fighters</t>
        </is>
      </c>
      <c r="D3" s="18" t="inlineStr">
        <is>
          <t>Total Wins</t>
        </is>
      </c>
      <c r="E3" s="18" t="inlineStr">
        <is>
          <t>Avg Win %</t>
        </is>
      </c>
      <c r="G3" s="18" t="inlineStr">
        <is>
          <t>Continent</t>
        </is>
      </c>
      <c r="H3" s="18" t="inlineStr">
        <is>
          <t>Fighters</t>
        </is>
      </c>
      <c r="I3" s="18" t="inlineStr">
        <is>
          <t>Avg Win%</t>
        </is>
      </c>
    </row>
    <row r="4" ht="18" customHeight="1">
      <c r="A4" s="34" t="inlineStr">
        <is>
          <t>USA</t>
        </is>
      </c>
      <c r="B4" s="35" t="inlineStr">
        <is>
          <t>North America</t>
        </is>
      </c>
      <c r="C4" s="36" t="n">
        <v>43</v>
      </c>
      <c r="D4" s="36" t="n">
        <v>967</v>
      </c>
      <c r="E4" s="37" t="n">
        <v>74.32744043043813</v>
      </c>
      <c r="G4" s="34" t="inlineStr">
        <is>
          <t>North America</t>
        </is>
      </c>
      <c r="H4" s="38" t="n">
        <v>51</v>
      </c>
      <c r="I4" s="39" t="n">
        <v>75.16778523489933</v>
      </c>
    </row>
    <row r="5" ht="18" customHeight="1">
      <c r="A5" s="40" t="inlineStr">
        <is>
          <t>Brazil</t>
        </is>
      </c>
      <c r="B5" s="41" t="inlineStr">
        <is>
          <t>South America</t>
        </is>
      </c>
      <c r="C5" s="42" t="n">
        <v>16</v>
      </c>
      <c r="D5" s="42" t="n">
        <v>425</v>
      </c>
      <c r="E5" s="43" t="n">
        <v>75.35460992907801</v>
      </c>
      <c r="G5" s="44" t="inlineStr">
        <is>
          <t>Europe</t>
        </is>
      </c>
      <c r="H5" s="45" t="n">
        <v>35</v>
      </c>
      <c r="I5" s="46" t="n">
        <v>78.20627802690584</v>
      </c>
    </row>
    <row r="6" ht="18" customHeight="1">
      <c r="A6" s="44" t="inlineStr">
        <is>
          <t>Russia</t>
        </is>
      </c>
      <c r="B6" s="47" t="inlineStr">
        <is>
          <t>Europe</t>
        </is>
      </c>
      <c r="C6" s="48" t="n">
        <v>7</v>
      </c>
      <c r="D6" s="48" t="n">
        <v>205</v>
      </c>
      <c r="E6" s="49" t="n">
        <v>87.6068376068376</v>
      </c>
      <c r="G6" s="40" t="inlineStr">
        <is>
          <t>South America</t>
        </is>
      </c>
      <c r="H6" s="50" t="n">
        <v>17</v>
      </c>
      <c r="I6" s="51" t="n">
        <v>75.25252525252525</v>
      </c>
    </row>
    <row r="7" ht="18" customHeight="1">
      <c r="A7" s="44" t="inlineStr">
        <is>
          <t>UK</t>
        </is>
      </c>
      <c r="B7" s="47" t="inlineStr">
        <is>
          <t>Europe</t>
        </is>
      </c>
      <c r="C7" s="48" t="n">
        <v>7</v>
      </c>
      <c r="D7" s="48" t="n">
        <v>139</v>
      </c>
      <c r="E7" s="49" t="n">
        <v>77.22222222222223</v>
      </c>
      <c r="G7" s="52" t="inlineStr">
        <is>
          <t>Asia</t>
        </is>
      </c>
      <c r="H7" s="53" t="n">
        <v>8</v>
      </c>
      <c r="I7" s="54" t="n">
        <v>78.40000000000001</v>
      </c>
    </row>
    <row r="8" ht="18" customHeight="1">
      <c r="A8" s="44" t="inlineStr">
        <is>
          <t>Netherlands</t>
        </is>
      </c>
      <c r="B8" s="47" t="inlineStr">
        <is>
          <t>Europe</t>
        </is>
      </c>
      <c r="C8" s="48" t="n">
        <v>5</v>
      </c>
      <c r="D8" s="48" t="n">
        <v>181</v>
      </c>
      <c r="E8" s="49" t="n">
        <v>75.10373443983403</v>
      </c>
      <c r="G8" s="55" t="inlineStr">
        <is>
          <t>Oceania</t>
        </is>
      </c>
      <c r="H8" s="56" t="n">
        <v>4</v>
      </c>
      <c r="I8" s="57" t="n">
        <v>73.58490566037736</v>
      </c>
    </row>
    <row r="9" ht="18" customHeight="1">
      <c r="A9" s="34" t="inlineStr">
        <is>
          <t>Mexico</t>
        </is>
      </c>
      <c r="B9" s="35" t="inlineStr">
        <is>
          <t>North America</t>
        </is>
      </c>
      <c r="C9" s="36" t="n">
        <v>4</v>
      </c>
      <c r="D9" s="36" t="n">
        <v>67</v>
      </c>
      <c r="E9" s="37" t="n">
        <v>80.72289156626506</v>
      </c>
      <c r="G9" s="58" t="inlineStr">
        <is>
          <t>Africa</t>
        </is>
      </c>
      <c r="H9" s="59" t="n">
        <v>2</v>
      </c>
      <c r="I9" s="60" t="n">
        <v>87.2340425531915</v>
      </c>
    </row>
    <row r="10" ht="16" customHeight="1">
      <c r="A10" s="44" t="inlineStr">
        <is>
          <t>Poland</t>
        </is>
      </c>
      <c r="B10" s="47" t="inlineStr">
        <is>
          <t>Europe</t>
        </is>
      </c>
      <c r="C10" s="48" t="n">
        <v>3</v>
      </c>
      <c r="D10" s="48" t="n">
        <v>66</v>
      </c>
      <c r="E10" s="49" t="n">
        <v>80.48780487804879</v>
      </c>
    </row>
    <row r="11" ht="16" customHeight="1">
      <c r="A11" s="44" t="inlineStr">
        <is>
          <t>France</t>
        </is>
      </c>
      <c r="B11" s="47" t="inlineStr">
        <is>
          <t>Europe</t>
        </is>
      </c>
      <c r="C11" s="48" t="n">
        <v>3</v>
      </c>
      <c r="D11" s="48" t="n">
        <v>38</v>
      </c>
      <c r="E11" s="49" t="n">
        <v>80.85106382978722</v>
      </c>
    </row>
    <row r="12" ht="16" customHeight="1">
      <c r="A12" s="55" t="inlineStr">
        <is>
          <t>Australia</t>
        </is>
      </c>
      <c r="B12" s="61" t="inlineStr">
        <is>
          <t>Oceania</t>
        </is>
      </c>
      <c r="C12" s="62" t="n">
        <v>3</v>
      </c>
      <c r="D12" s="62" t="n">
        <v>65</v>
      </c>
      <c r="E12" s="63" t="n">
        <v>82.27848101265823</v>
      </c>
    </row>
    <row r="13" ht="16" customHeight="1">
      <c r="A13" s="52" t="inlineStr">
        <is>
          <t>Japan</t>
        </is>
      </c>
      <c r="B13" s="64" t="inlineStr">
        <is>
          <t>Asia</t>
        </is>
      </c>
      <c r="C13" s="65" t="n">
        <v>3</v>
      </c>
      <c r="D13" s="65" t="n">
        <v>94</v>
      </c>
      <c r="E13" s="66" t="n">
        <v>74.01574803149606</v>
      </c>
    </row>
    <row r="14" ht="16" customHeight="1">
      <c r="A14" s="34" t="inlineStr">
        <is>
          <t>Jamaica</t>
        </is>
      </c>
      <c r="B14" s="35" t="inlineStr">
        <is>
          <t>North America</t>
        </is>
      </c>
      <c r="C14" s="36" t="n">
        <v>2</v>
      </c>
      <c r="D14" s="36" t="n">
        <v>38</v>
      </c>
      <c r="E14" s="37" t="n">
        <v>76</v>
      </c>
    </row>
    <row r="15" ht="16" customHeight="1">
      <c r="A15" s="44" t="inlineStr">
        <is>
          <t>Georgia</t>
        </is>
      </c>
      <c r="B15" s="47" t="inlineStr">
        <is>
          <t>Europe</t>
        </is>
      </c>
      <c r="C15" s="48" t="n">
        <v>2</v>
      </c>
      <c r="D15" s="48" t="n">
        <v>31</v>
      </c>
      <c r="E15" s="49" t="n">
        <v>88.57142857142857</v>
      </c>
    </row>
    <row r="16" ht="16" customHeight="1">
      <c r="A16" s="34" t="inlineStr">
        <is>
          <t>Canada</t>
        </is>
      </c>
      <c r="B16" s="35" t="inlineStr">
        <is>
          <t>North America</t>
        </is>
      </c>
      <c r="C16" s="36" t="n">
        <v>2</v>
      </c>
      <c r="D16" s="36" t="n">
        <v>48</v>
      </c>
      <c r="E16" s="37" t="n">
        <v>85.71428571428571</v>
      </c>
    </row>
    <row r="17" ht="16" customHeight="1">
      <c r="A17" s="52" t="inlineStr">
        <is>
          <t>China</t>
        </is>
      </c>
      <c r="B17" s="64" t="inlineStr">
        <is>
          <t>Asia</t>
        </is>
      </c>
      <c r="C17" s="65" t="n">
        <v>2</v>
      </c>
      <c r="D17" s="65" t="n">
        <v>41</v>
      </c>
      <c r="E17" s="66" t="n">
        <v>87.2340425531915</v>
      </c>
    </row>
    <row r="18" ht="16" customHeight="1">
      <c r="A18" s="52" t="inlineStr">
        <is>
          <t>South Korea</t>
        </is>
      </c>
      <c r="B18" s="64" t="inlineStr">
        <is>
          <t>Asia</t>
        </is>
      </c>
      <c r="C18" s="65" t="n">
        <v>2</v>
      </c>
      <c r="D18" s="65" t="n">
        <v>38</v>
      </c>
      <c r="E18" s="66" t="n">
        <v>77.55102040816327</v>
      </c>
    </row>
    <row r="19" ht="16" customHeight="1">
      <c r="A19" s="40" t="inlineStr">
        <is>
          <t>Ecuador</t>
        </is>
      </c>
      <c r="B19" s="41" t="inlineStr">
        <is>
          <t>South America</t>
        </is>
      </c>
      <c r="C19" s="42" t="n">
        <v>1</v>
      </c>
      <c r="D19" s="42" t="n">
        <v>22</v>
      </c>
      <c r="E19" s="43" t="n">
        <v>73.33333333333333</v>
      </c>
    </row>
    <row r="20" ht="16" customHeight="1">
      <c r="A20" s="44" t="inlineStr">
        <is>
          <t>Czech Rep.</t>
        </is>
      </c>
      <c r="B20" s="47" t="inlineStr">
        <is>
          <t>Europe</t>
        </is>
      </c>
      <c r="C20" s="48" t="n">
        <v>1</v>
      </c>
      <c r="D20" s="48" t="n">
        <v>29</v>
      </c>
      <c r="E20" s="49" t="n">
        <v>87.87878787878788</v>
      </c>
    </row>
    <row r="21" ht="16" customHeight="1">
      <c r="A21" s="44" t="inlineStr">
        <is>
          <t>Belarus</t>
        </is>
      </c>
      <c r="B21" s="47" t="inlineStr">
        <is>
          <t>Europe</t>
        </is>
      </c>
      <c r="C21" s="48" t="n">
        <v>1</v>
      </c>
      <c r="D21" s="48" t="n">
        <v>34</v>
      </c>
      <c r="E21" s="49" t="n">
        <v>60.71428571428571</v>
      </c>
    </row>
    <row r="22" ht="16" customHeight="1">
      <c r="A22" s="44" t="inlineStr">
        <is>
          <t>Croatia</t>
        </is>
      </c>
      <c r="B22" s="47" t="inlineStr">
        <is>
          <t>Europe</t>
        </is>
      </c>
      <c r="C22" s="48" t="n">
        <v>1</v>
      </c>
      <c r="D22" s="48" t="n">
        <v>38</v>
      </c>
      <c r="E22" s="49" t="n">
        <v>74.50980392156863</v>
      </c>
    </row>
    <row r="23" ht="16" customHeight="1">
      <c r="A23" s="44" t="inlineStr">
        <is>
          <t>Ukraine</t>
        </is>
      </c>
      <c r="B23" s="47" t="inlineStr">
        <is>
          <t>Europe</t>
        </is>
      </c>
      <c r="C23" s="48" t="n">
        <v>1</v>
      </c>
      <c r="D23" s="48" t="n">
        <v>30</v>
      </c>
      <c r="E23" s="49" t="n">
        <v>75</v>
      </c>
    </row>
    <row r="24" ht="16" customHeight="1">
      <c r="A24" s="44" t="inlineStr">
        <is>
          <t>Ireland</t>
        </is>
      </c>
      <c r="B24" s="47" t="inlineStr">
        <is>
          <t>Europe</t>
        </is>
      </c>
      <c r="C24" s="48" t="n">
        <v>1</v>
      </c>
      <c r="D24" s="48" t="n">
        <v>22</v>
      </c>
      <c r="E24" s="49" t="n">
        <v>78.57142857142857</v>
      </c>
    </row>
    <row r="25" ht="16" customHeight="1">
      <c r="A25" s="44" t="inlineStr">
        <is>
          <t>Denmark</t>
        </is>
      </c>
      <c r="B25" s="47" t="inlineStr">
        <is>
          <t>Europe</t>
        </is>
      </c>
      <c r="C25" s="48" t="n">
        <v>1</v>
      </c>
      <c r="D25" s="48" t="n">
        <v>20</v>
      </c>
      <c r="E25" s="49" t="n">
        <v>71.42857142857143</v>
      </c>
    </row>
    <row r="26" ht="16" customHeight="1">
      <c r="A26" s="44" t="inlineStr">
        <is>
          <t>Germany</t>
        </is>
      </c>
      <c r="B26" s="47" t="inlineStr">
        <is>
          <t>Europe</t>
        </is>
      </c>
      <c r="C26" s="48" t="n">
        <v>1</v>
      </c>
      <c r="D26" s="48" t="n">
        <v>22</v>
      </c>
      <c r="E26" s="49" t="n">
        <v>62.85714285714285</v>
      </c>
    </row>
    <row r="27" ht="16" customHeight="1">
      <c r="A27" s="58" t="inlineStr">
        <is>
          <t>Nigeria</t>
        </is>
      </c>
      <c r="B27" s="67" t="inlineStr">
        <is>
          <t>Africa</t>
        </is>
      </c>
      <c r="C27" s="68" t="n">
        <v>1</v>
      </c>
      <c r="D27" s="68" t="n">
        <v>24</v>
      </c>
      <c r="E27" s="69" t="n">
        <v>88.88888888888889</v>
      </c>
    </row>
    <row r="28" ht="16" customHeight="1">
      <c r="A28" s="58" t="inlineStr">
        <is>
          <t>Cameroon</t>
        </is>
      </c>
      <c r="B28" s="67" t="inlineStr">
        <is>
          <t>Africa</t>
        </is>
      </c>
      <c r="C28" s="68" t="n">
        <v>1</v>
      </c>
      <c r="D28" s="68" t="n">
        <v>17</v>
      </c>
      <c r="E28" s="69" t="n">
        <v>85</v>
      </c>
    </row>
    <row r="29" ht="16" customHeight="1">
      <c r="A29" s="55" t="inlineStr">
        <is>
          <t>New Zealand</t>
        </is>
      </c>
      <c r="B29" s="61" t="inlineStr">
        <is>
          <t>Oceania</t>
        </is>
      </c>
      <c r="C29" s="62" t="n">
        <v>1</v>
      </c>
      <c r="D29" s="62" t="n">
        <v>13</v>
      </c>
      <c r="E29" s="63" t="n">
        <v>48.14814814814815</v>
      </c>
    </row>
    <row r="30" ht="16" customHeight="1">
      <c r="A30" s="52" t="inlineStr">
        <is>
          <t>Kyrgyzstan</t>
        </is>
      </c>
      <c r="B30" s="64" t="inlineStr">
        <is>
          <t>Asia</t>
        </is>
      </c>
      <c r="C30" s="65" t="n">
        <v>1</v>
      </c>
      <c r="D30" s="65" t="n">
        <v>23</v>
      </c>
      <c r="E30" s="66" t="n">
        <v>85.18518518518519</v>
      </c>
    </row>
    <row r="31" ht="16" customHeight="1">
      <c r="A31" s="44" t="inlineStr">
        <is>
          <t>Belgium</t>
        </is>
      </c>
      <c r="B31" s="47" t="inlineStr">
        <is>
          <t>Europe</t>
        </is>
      </c>
      <c r="C31" s="48" t="n">
        <v>1</v>
      </c>
      <c r="D31" s="48" t="n">
        <v>17</v>
      </c>
      <c r="E31" s="49" t="n">
        <v>68</v>
      </c>
    </row>
  </sheetData>
  <mergeCells count="2">
    <mergeCell ref="A1:E1"/>
    <mergeCell ref="G1:I1"/>
  </mergeCells>
  <conditionalFormatting sqref="E4:E31">
    <cfRule type="colorScale" priority="1">
      <colorScale>
        <cfvo type="min"/>
        <cfvo type="percentile" val="50"/>
        <cfvo type="max"/>
        <color rgb="008B0000"/>
        <color rgb="00FFD700"/>
        <color rgb="000064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6" customWidth="1" min="4" max="4"/>
    <col width="9" customWidth="1" min="5" max="5"/>
    <col width="9" customWidth="1" min="6" max="6"/>
    <col width="9" customWidth="1" min="7" max="7"/>
    <col width="13" customWidth="1" min="8" max="8"/>
    <col width="22" customWidth="1" min="10" max="10"/>
    <col width="14" customWidth="1" min="11" max="11"/>
  </cols>
  <sheetData>
    <row r="1" ht="30" customHeight="1">
      <c r="A1" s="70" t="inlineStr">
        <is>
          <t>⭐  SPOTLIGHT: RIGHT-HANDED SOUTHPAW FIGHTERS</t>
        </is>
      </c>
    </row>
    <row r="2" ht="22" customHeight="1">
      <c r="A2" s="2" t="inlineStr">
        <is>
          <t>#</t>
        </is>
      </c>
      <c r="B2" s="2" t="inlineStr">
        <is>
          <t>Fighter</t>
        </is>
      </c>
      <c r="C2" s="2" t="inlineStr">
        <is>
          <t>Country</t>
        </is>
      </c>
      <c r="D2" s="2" t="inlineStr">
        <is>
          <t>Continent</t>
        </is>
      </c>
      <c r="E2" s="2" t="inlineStr">
        <is>
          <t>Wins</t>
        </is>
      </c>
      <c r="F2" s="2" t="inlineStr">
        <is>
          <t>Losses</t>
        </is>
      </c>
      <c r="G2" s="2" t="inlineStr">
        <is>
          <t>Total</t>
        </is>
      </c>
      <c r="H2" s="2" t="inlineStr">
        <is>
          <t>Win Rate %</t>
        </is>
      </c>
      <c r="J2" s="71" t="inlineStr">
        <is>
          <t>MY GROUP STATS</t>
        </is>
      </c>
    </row>
    <row r="3" ht="17" customHeight="1">
      <c r="A3" s="72" t="n">
        <v>1</v>
      </c>
      <c r="B3" s="13" t="inlineStr">
        <is>
          <t>Sean O'Malley</t>
        </is>
      </c>
      <c r="C3" s="72" t="inlineStr">
        <is>
          <t>USA</t>
        </is>
      </c>
      <c r="D3" s="72" t="inlineStr">
        <is>
          <t>North America</t>
        </is>
      </c>
      <c r="E3" s="72" t="n">
        <v>17</v>
      </c>
      <c r="F3" s="72" t="n">
        <v>1</v>
      </c>
      <c r="G3" s="72">
        <f>E3+F3</f>
        <v/>
      </c>
      <c r="H3" s="73">
        <f>IF(G3&gt;0,E3/G3*100,0)</f>
        <v/>
      </c>
      <c r="J3" s="74" t="inlineStr">
        <is>
          <t>Fighters</t>
        </is>
      </c>
      <c r="K3" s="75" t="n">
        <v>13</v>
      </c>
    </row>
    <row r="4" ht="17" customHeight="1">
      <c r="A4" s="76" t="n">
        <v>2</v>
      </c>
      <c r="B4" s="77" t="inlineStr">
        <is>
          <t>Israel Adesanya</t>
        </is>
      </c>
      <c r="C4" s="76" t="inlineStr">
        <is>
          <t>Nigeria</t>
        </is>
      </c>
      <c r="D4" s="76" t="inlineStr">
        <is>
          <t>Africa</t>
        </is>
      </c>
      <c r="E4" s="76" t="n">
        <v>24</v>
      </c>
      <c r="F4" s="76" t="n">
        <v>3</v>
      </c>
      <c r="G4" s="76">
        <f>E4+F4</f>
        <v/>
      </c>
      <c r="H4" s="78">
        <f>IF(G4&gt;0,E4/G4*100,0)</f>
        <v/>
      </c>
      <c r="J4" s="74" t="inlineStr">
        <is>
          <t>% of Dataset</t>
        </is>
      </c>
      <c r="K4" s="75" t="inlineStr">
        <is>
          <t>11.1%</t>
        </is>
      </c>
    </row>
    <row r="5" ht="17" customHeight="1">
      <c r="A5" s="72" t="n">
        <v>3</v>
      </c>
      <c r="B5" s="13" t="inlineStr">
        <is>
          <t>Sergio Pettis</t>
        </is>
      </c>
      <c r="C5" s="72" t="inlineStr">
        <is>
          <t>USA</t>
        </is>
      </c>
      <c r="D5" s="72" t="inlineStr">
        <is>
          <t>North America</t>
        </is>
      </c>
      <c r="E5" s="72" t="n">
        <v>21</v>
      </c>
      <c r="F5" s="72" t="n">
        <v>5</v>
      </c>
      <c r="G5" s="72">
        <f>E5+F5</f>
        <v/>
      </c>
      <c r="H5" s="73">
        <f>IF(G5&gt;0,E5/G5*100,0)</f>
        <v/>
      </c>
      <c r="J5" s="74" t="inlineStr">
        <is>
          <t>Mean Win Rate</t>
        </is>
      </c>
      <c r="K5" s="75" t="inlineStr">
        <is>
          <t>77.92%</t>
        </is>
      </c>
    </row>
    <row r="6" ht="17" customHeight="1">
      <c r="A6" s="76" t="n">
        <v>4</v>
      </c>
      <c r="B6" s="77" t="inlineStr">
        <is>
          <t>Cory Sandhagen</t>
        </is>
      </c>
      <c r="C6" s="76" t="inlineStr">
        <is>
          <t>USA</t>
        </is>
      </c>
      <c r="D6" s="76" t="inlineStr">
        <is>
          <t>North America</t>
        </is>
      </c>
      <c r="E6" s="76" t="n">
        <v>16</v>
      </c>
      <c r="F6" s="76" t="n">
        <v>4</v>
      </c>
      <c r="G6" s="76">
        <f>E6+F6</f>
        <v/>
      </c>
      <c r="H6" s="78">
        <f>IF(G6&gt;0,E6/G6*100,0)</f>
        <v/>
      </c>
      <c r="J6" s="74" t="inlineStr">
        <is>
          <t>Median Win Rate</t>
        </is>
      </c>
      <c r="K6" s="75" t="inlineStr">
        <is>
          <t>78.38%</t>
        </is>
      </c>
    </row>
    <row r="7" ht="17" customHeight="1">
      <c r="A7" s="72" t="n">
        <v>5</v>
      </c>
      <c r="B7" s="13" t="inlineStr">
        <is>
          <t>Yair Rodriguez</t>
        </is>
      </c>
      <c r="C7" s="72" t="inlineStr">
        <is>
          <t>Mexico</t>
        </is>
      </c>
      <c r="D7" s="72" t="inlineStr">
        <is>
          <t>North America</t>
        </is>
      </c>
      <c r="E7" s="72" t="n">
        <v>15</v>
      </c>
      <c r="F7" s="72" t="n">
        <v>4</v>
      </c>
      <c r="G7" s="72">
        <f>E7+F7</f>
        <v/>
      </c>
      <c r="H7" s="73">
        <f>IF(G7&gt;0,E7/G7*100,0)</f>
        <v/>
      </c>
      <c r="J7" s="74" t="inlineStr">
        <is>
          <t>Std Deviation</t>
        </is>
      </c>
      <c r="K7" s="75" t="inlineStr">
        <is>
          <t>±8.34%</t>
        </is>
      </c>
    </row>
    <row r="8" ht="17" customHeight="1">
      <c r="A8" s="76" t="n">
        <v>6</v>
      </c>
      <c r="B8" s="77" t="inlineStr">
        <is>
          <t>Conor McGregor</t>
        </is>
      </c>
      <c r="C8" s="76" t="inlineStr">
        <is>
          <t>Ireland</t>
        </is>
      </c>
      <c r="D8" s="76" t="inlineStr">
        <is>
          <t>Europe</t>
        </is>
      </c>
      <c r="E8" s="76" t="n">
        <v>22</v>
      </c>
      <c r="F8" s="76" t="n">
        <v>6</v>
      </c>
      <c r="G8" s="76">
        <f>E8+F8</f>
        <v/>
      </c>
      <c r="H8" s="78">
        <f>IF(G8&gt;0,E8/G8*100,0)</f>
        <v/>
      </c>
      <c r="J8" s="74" t="inlineStr">
        <is>
          <t>Min Win Rate</t>
        </is>
      </c>
      <c r="K8" s="75" t="inlineStr">
        <is>
          <t>62.86%</t>
        </is>
      </c>
    </row>
    <row r="9" ht="17" customHeight="1">
      <c r="A9" s="72" t="n">
        <v>7</v>
      </c>
      <c r="B9" s="13" t="inlineStr">
        <is>
          <t>Dustin Poirier</t>
        </is>
      </c>
      <c r="C9" s="72" t="inlineStr">
        <is>
          <t>USA</t>
        </is>
      </c>
      <c r="D9" s="72" t="inlineStr">
        <is>
          <t>North America</t>
        </is>
      </c>
      <c r="E9" s="72" t="n">
        <v>29</v>
      </c>
      <c r="F9" s="72" t="n">
        <v>8</v>
      </c>
      <c r="G9" s="72">
        <f>E9+F9</f>
        <v/>
      </c>
      <c r="H9" s="73">
        <f>IF(G9&gt;0,E9/G9*100,0)</f>
        <v/>
      </c>
      <c r="J9" s="74" t="inlineStr">
        <is>
          <t>Max Win Rate</t>
        </is>
      </c>
      <c r="K9" s="75" t="inlineStr">
        <is>
          <t>94.44%</t>
        </is>
      </c>
    </row>
    <row r="10" ht="17" customHeight="1">
      <c r="A10" s="76" t="n">
        <v>8</v>
      </c>
      <c r="B10" s="77" t="inlineStr">
        <is>
          <t>Darren Till</t>
        </is>
      </c>
      <c r="C10" s="76" t="inlineStr">
        <is>
          <t>UK</t>
        </is>
      </c>
      <c r="D10" s="76" t="inlineStr">
        <is>
          <t>Europe</t>
        </is>
      </c>
      <c r="E10" s="76" t="n">
        <v>18</v>
      </c>
      <c r="F10" s="76" t="n">
        <v>5</v>
      </c>
      <c r="G10" s="76">
        <f>E10+F10</f>
        <v/>
      </c>
      <c r="H10" s="78">
        <f>IF(G10&gt;0,E10/G10*100,0)</f>
        <v/>
      </c>
      <c r="J10" s="79" t="inlineStr"/>
    </row>
    <row r="11" ht="17" customHeight="1">
      <c r="A11" s="72" t="n">
        <v>9</v>
      </c>
      <c r="B11" s="13" t="inlineStr">
        <is>
          <t>Nassourdine Imavov</t>
        </is>
      </c>
      <c r="C11" s="72" t="inlineStr">
        <is>
          <t>France</t>
        </is>
      </c>
      <c r="D11" s="72" t="inlineStr">
        <is>
          <t>Europe</t>
        </is>
      </c>
      <c r="E11" s="72" t="n">
        <v>14</v>
      </c>
      <c r="F11" s="72" t="n">
        <v>4</v>
      </c>
      <c r="G11" s="72">
        <f>E11+F11</f>
        <v/>
      </c>
      <c r="H11" s="73">
        <f>IF(G11&gt;0,E11/G11*100,0)</f>
        <v/>
      </c>
      <c r="J11" s="74" t="inlineStr">
        <is>
          <t>vs Orthodox Right</t>
        </is>
      </c>
      <c r="K11" s="80" t="inlineStr">
        <is>
          <t>-0.28%</t>
        </is>
      </c>
    </row>
    <row r="12" ht="17" customHeight="1">
      <c r="A12" s="76" t="n">
        <v>10</v>
      </c>
      <c r="B12" s="77" t="inlineStr">
        <is>
          <t>TJ Dillashaw</t>
        </is>
      </c>
      <c r="C12" s="76" t="inlineStr">
        <is>
          <t>USA</t>
        </is>
      </c>
      <c r="D12" s="76" t="inlineStr">
        <is>
          <t>North America</t>
        </is>
      </c>
      <c r="E12" s="76" t="n">
        <v>17</v>
      </c>
      <c r="F12" s="76" t="n">
        <v>5</v>
      </c>
      <c r="G12" s="76">
        <f>E12+F12</f>
        <v/>
      </c>
      <c r="H12" s="78">
        <f>IF(G12&gt;0,E12/G12*100,0)</f>
        <v/>
      </c>
      <c r="J12" s="74" t="inlineStr">
        <is>
          <t>vs Trad Southpaw</t>
        </is>
      </c>
      <c r="K12" s="81" t="inlineStr">
        <is>
          <t>+0.79%</t>
        </is>
      </c>
    </row>
    <row r="13" ht="17" customHeight="1">
      <c r="A13" s="72" t="n">
        <v>11</v>
      </c>
      <c r="B13" s="13" t="inlineStr">
        <is>
          <t>Martin Kampmann</t>
        </is>
      </c>
      <c r="C13" s="72" t="inlineStr">
        <is>
          <t>Denmark</t>
        </is>
      </c>
      <c r="D13" s="72" t="inlineStr">
        <is>
          <t>Europe</t>
        </is>
      </c>
      <c r="E13" s="72" t="n">
        <v>20</v>
      </c>
      <c r="F13" s="72" t="n">
        <v>8</v>
      </c>
      <c r="G13" s="72">
        <f>E13+F13</f>
        <v/>
      </c>
      <c r="H13" s="73">
        <f>IF(G13&gt;0,E13/G13*100,0)</f>
        <v/>
      </c>
      <c r="J13" s="74" t="inlineStr">
        <is>
          <t>vs All Others</t>
        </is>
      </c>
      <c r="K13" s="80" t="inlineStr">
        <is>
          <t>-0.13%</t>
        </is>
      </c>
    </row>
    <row r="14" ht="17" customHeight="1">
      <c r="A14" s="76" t="n">
        <v>12</v>
      </c>
      <c r="B14" s="77" t="inlineStr">
        <is>
          <t>Uriah Hall</t>
        </is>
      </c>
      <c r="C14" s="76" t="inlineStr">
        <is>
          <t>Jamaica</t>
        </is>
      </c>
      <c r="D14" s="76" t="inlineStr">
        <is>
          <t>North America</t>
        </is>
      </c>
      <c r="E14" s="76" t="n">
        <v>17</v>
      </c>
      <c r="F14" s="76" t="n">
        <v>9</v>
      </c>
      <c r="G14" s="76">
        <f>E14+F14</f>
        <v/>
      </c>
      <c r="H14" s="78">
        <f>IF(G14&gt;0,E14/G14*100,0)</f>
        <v/>
      </c>
      <c r="J14" s="79" t="inlineStr"/>
    </row>
    <row r="15" ht="17" customHeight="1">
      <c r="A15" s="72" t="n">
        <v>13</v>
      </c>
      <c r="B15" s="13" t="inlineStr">
        <is>
          <t>Dennis Siver</t>
        </is>
      </c>
      <c r="C15" s="72" t="inlineStr">
        <is>
          <t>Germany</t>
        </is>
      </c>
      <c r="D15" s="72" t="inlineStr">
        <is>
          <t>Europe</t>
        </is>
      </c>
      <c r="E15" s="72" t="n">
        <v>22</v>
      </c>
      <c r="F15" s="72" t="n">
        <v>13</v>
      </c>
      <c r="G15" s="72">
        <f>E15+F15</f>
        <v/>
      </c>
      <c r="H15" s="73">
        <f>IF(G15&gt;0,E15/G15*100,0)</f>
        <v/>
      </c>
      <c r="J15" s="12" t="inlineStr">
        <is>
          <t>KEEP TRAINING!</t>
        </is>
      </c>
    </row>
  </sheetData>
  <mergeCells count="5">
    <mergeCell ref="J2:K2"/>
    <mergeCell ref="J14:K14"/>
    <mergeCell ref="J15:K15"/>
    <mergeCell ref="J10:K10"/>
    <mergeCell ref="A1:H1"/>
  </mergeCells>
  <conditionalFormatting sqref="H3:H15">
    <cfRule type="colorScale" priority="1">
      <colorScale>
        <cfvo type="min"/>
        <cfvo type="percentile" val="50"/>
        <cfvo type="max"/>
        <color rgb="008B0000"/>
        <color rgb="00FFD700"/>
        <color rgb="000064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2026-04-17T08:38:10Z</dcterms:created>
  <dcterms:modified xmlns:dcterms="http://purl.org/dc/terms/" xmlns:xsi="http://www.w3.org/2001/XMLSchema-instance" xsi:type="dcterms:W3CDTF">2026-04-17T08:38:10Z</dcterms:modified>
</cp:coreProperties>
</file>